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rogramming\UniverWorks\ELECTROTEH\"/>
    </mc:Choice>
  </mc:AlternateContent>
  <xr:revisionPtr revIDLastSave="0" documentId="13_ncr:1_{9E120518-A98F-4030-8CB1-6E6D335740CE}" xr6:coauthVersionLast="47" xr6:coauthVersionMax="47" xr10:uidLastSave="{00000000-0000-0000-0000-000000000000}"/>
  <bookViews>
    <workbookView xWindow="-120" yWindow="-120" windowWidth="29040" windowHeight="16440" tabRatio="500" firstSheet="1" activeTab="4" xr2:uid="{00000000-000D-0000-FFFF-FFFF00000000}"/>
  </bookViews>
  <sheets>
    <sheet name="1 лаба" sheetId="1" r:id="rId1"/>
    <sheet name="2 лаба" sheetId="2" r:id="rId2"/>
    <sheet name="3 лаба" sheetId="3" r:id="rId3"/>
    <sheet name="4 лаба" sheetId="4" r:id="rId4"/>
    <sheet name="5 лаба" sheetId="5" r:id="rId5"/>
    <sheet name="6 лаба " sheetId="6" r:id="rId6"/>
    <sheet name="7 лаба" sheetId="7" r:id="rId7"/>
    <sheet name="8 лаба" sheetId="8" r:id="rId8"/>
    <sheet name="9  лаба" sheetId="9" r:id="rId9"/>
    <sheet name="10 лаба" sheetId="10" r:id="rId10"/>
    <sheet name="11 лаба" sheetId="11" r:id="rId11"/>
    <sheet name="12 лаба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N7" i="4" l="1"/>
  <c r="N5" i="4"/>
  <c r="E6" i="4"/>
  <c r="N6" i="4"/>
  <c r="I6" i="4"/>
  <c r="D6" i="4"/>
  <c r="G15" i="3"/>
  <c r="B19" i="3"/>
  <c r="A19" i="3"/>
  <c r="F5" i="3"/>
  <c r="E5" i="3"/>
  <c r="D5" i="3"/>
  <c r="B4" i="3"/>
  <c r="B10" i="3" s="1"/>
  <c r="C4" i="3"/>
  <c r="D4" i="3"/>
  <c r="E4" i="3"/>
  <c r="F4" i="3"/>
  <c r="G4" i="3"/>
  <c r="G5" i="3"/>
  <c r="C5" i="3"/>
  <c r="B5" i="3"/>
  <c r="G8" i="3"/>
  <c r="G9" i="3" s="1"/>
  <c r="F8" i="3"/>
  <c r="F9" i="3" s="1"/>
  <c r="E8" i="3"/>
  <c r="E9" i="3" s="1"/>
  <c r="D8" i="3"/>
  <c r="D9" i="3" s="1"/>
  <c r="C8" i="3"/>
  <c r="C9" i="3" s="1"/>
  <c r="B8" i="3"/>
  <c r="B9" i="3" s="1"/>
  <c r="C6" i="4"/>
  <c r="N16" i="4"/>
  <c r="I7" i="4"/>
  <c r="D7" i="4"/>
  <c r="E7" i="4" s="1"/>
  <c r="N17" i="4" s="1"/>
  <c r="H7" i="4" s="1"/>
  <c r="J7" i="4" s="1"/>
  <c r="N15" i="4"/>
  <c r="B17" i="3"/>
  <c r="B18" i="3" s="1"/>
  <c r="C14" i="3"/>
  <c r="F19" i="2"/>
  <c r="D19" i="2"/>
  <c r="B19" i="2"/>
  <c r="F18" i="2"/>
  <c r="D18" i="2"/>
  <c r="B18" i="2"/>
  <c r="F17" i="2"/>
  <c r="D17" i="2"/>
  <c r="B17" i="2"/>
  <c r="J14" i="2"/>
  <c r="N12" i="2"/>
  <c r="O10" i="2"/>
  <c r="J10" i="2"/>
  <c r="P9" i="2"/>
  <c r="O9" i="2"/>
  <c r="J9" i="2"/>
  <c r="D36" i="2" s="1"/>
  <c r="J8" i="2"/>
  <c r="O7" i="2"/>
  <c r="P10" i="2" s="1"/>
  <c r="M7" i="2"/>
  <c r="O6" i="2"/>
  <c r="R12" i="2" s="1"/>
  <c r="P13" i="2" s="1"/>
  <c r="M6" i="2"/>
  <c r="Q12" i="2" s="1"/>
  <c r="M13" i="2" s="1"/>
  <c r="O14" i="2" s="1"/>
  <c r="Q25" i="1"/>
  <c r="P25" i="1"/>
  <c r="O25" i="1"/>
  <c r="N25" i="1"/>
  <c r="M25" i="1"/>
  <c r="L25" i="1"/>
  <c r="Q24" i="1"/>
  <c r="P24" i="1"/>
  <c r="O24" i="1"/>
  <c r="N24" i="1"/>
  <c r="M24" i="1"/>
  <c r="L24" i="1"/>
  <c r="Q23" i="1"/>
  <c r="P23" i="1"/>
  <c r="O23" i="1"/>
  <c r="N23" i="1"/>
  <c r="M23" i="1"/>
  <c r="L23" i="1"/>
  <c r="O17" i="1"/>
  <c r="N17" i="1"/>
  <c r="M17" i="1"/>
  <c r="O16" i="1"/>
  <c r="N16" i="1"/>
  <c r="M16" i="1"/>
  <c r="O9" i="1"/>
  <c r="N9" i="1"/>
  <c r="M9" i="1"/>
  <c r="O8" i="1"/>
  <c r="N8" i="1"/>
  <c r="M8" i="1"/>
  <c r="O7" i="1"/>
  <c r="N7" i="1"/>
  <c r="M7" i="1"/>
  <c r="O6" i="1"/>
  <c r="N6" i="1"/>
  <c r="M6" i="1"/>
  <c r="E10" i="3" l="1"/>
  <c r="M3" i="3"/>
  <c r="G10" i="3"/>
  <c r="C10" i="3"/>
  <c r="D10" i="3"/>
  <c r="F10" i="3"/>
  <c r="H6" i="4"/>
  <c r="J6" i="4" s="1"/>
  <c r="O16" i="2"/>
  <c r="O15" i="2"/>
  <c r="B37" i="2"/>
  <c r="D37" i="2"/>
  <c r="G36" i="2" s="1"/>
  <c r="J11" i="2"/>
  <c r="M12" i="2"/>
  <c r="J15" i="2"/>
  <c r="B36" i="2"/>
  <c r="F36" i="2" l="1"/>
  <c r="H36" i="2" s="1"/>
</calcChain>
</file>

<file path=xl/sharedStrings.xml><?xml version="1.0" encoding="utf-8"?>
<sst xmlns="http://schemas.openxmlformats.org/spreadsheetml/2006/main" count="373" uniqueCount="214">
  <si>
    <t>Вариант 9</t>
  </si>
  <si>
    <t>R=U/I</t>
  </si>
  <si>
    <t>Таблица 1.2</t>
  </si>
  <si>
    <t>Источники ЭДС</t>
  </si>
  <si>
    <t>RH, %</t>
  </si>
  <si>
    <t>RH 100%</t>
  </si>
  <si>
    <t>RH 50%</t>
  </si>
  <si>
    <t>RH 10%</t>
  </si>
  <si>
    <t>Идеальный (Direct1)</t>
  </si>
  <si>
    <t>E1 (I)</t>
  </si>
  <si>
    <t>PV1, B</t>
  </si>
  <si>
    <t>PA1, A</t>
  </si>
  <si>
    <t>E2 (II)</t>
  </si>
  <si>
    <t>Direct1</t>
  </si>
  <si>
    <t>E1</t>
  </si>
  <si>
    <t>E2</t>
  </si>
  <si>
    <t>Реальный (Direct2)</t>
  </si>
  <si>
    <t>E1 (III)</t>
  </si>
  <si>
    <t>Direct2</t>
  </si>
  <si>
    <t>E2 (IV)</t>
  </si>
  <si>
    <t>Таблица 1.4</t>
  </si>
  <si>
    <t>Источник тока</t>
  </si>
  <si>
    <t>J1</t>
  </si>
  <si>
    <t>Источники тока</t>
  </si>
  <si>
    <t>J2</t>
  </si>
  <si>
    <t>Таблица 1.6</t>
  </si>
  <si>
    <t>Лампы</t>
  </si>
  <si>
    <t>R, %</t>
  </si>
  <si>
    <t>RH 80%</t>
  </si>
  <si>
    <t>RH 60%</t>
  </si>
  <si>
    <t>RH 40%</t>
  </si>
  <si>
    <t>RH 20%</t>
  </si>
  <si>
    <t>EL1</t>
  </si>
  <si>
    <t>EL1 и EL2 параллельные</t>
  </si>
  <si>
    <t>EL1 и EL2</t>
  </si>
  <si>
    <t>EL3 и EL4</t>
  </si>
  <si>
    <t>EL3 и EL4 последовательные</t>
  </si>
  <si>
    <t xml:space="preserve">9 Вариант </t>
  </si>
  <si>
    <t>Таблица 2.2</t>
  </si>
  <si>
    <t>Const</t>
  </si>
  <si>
    <t>R1</t>
  </si>
  <si>
    <t>R2</t>
  </si>
  <si>
    <t>R3</t>
  </si>
  <si>
    <t>Номер опыта №</t>
  </si>
  <si>
    <t xml:space="preserve">Показания приборов по модулю </t>
  </si>
  <si>
    <t>ом</t>
  </si>
  <si>
    <t xml:space="preserve">V1 </t>
  </si>
  <si>
    <t>V2</t>
  </si>
  <si>
    <t>l1</t>
  </si>
  <si>
    <t>l2</t>
  </si>
  <si>
    <t>l3</t>
  </si>
  <si>
    <t>B</t>
  </si>
  <si>
    <t>мА</t>
  </si>
  <si>
    <t>СИ</t>
  </si>
  <si>
    <t>I</t>
  </si>
  <si>
    <t>Система</t>
  </si>
  <si>
    <t>m</t>
  </si>
  <si>
    <t>=</t>
  </si>
  <si>
    <t>*a+b</t>
  </si>
  <si>
    <t>E1~</t>
  </si>
  <si>
    <t>E2~</t>
  </si>
  <si>
    <t>b</t>
  </si>
  <si>
    <t>*a</t>
  </si>
  <si>
    <t>a</t>
  </si>
  <si>
    <t>Таблица 2.4</t>
  </si>
  <si>
    <t xml:space="preserve">Результаты вычислений </t>
  </si>
  <si>
    <t>Расчетные :</t>
  </si>
  <si>
    <t>a*</t>
  </si>
  <si>
    <t xml:space="preserve">a = </t>
  </si>
  <si>
    <t>b =</t>
  </si>
  <si>
    <t>Проверка II закона Кирхгофа</t>
  </si>
  <si>
    <t>Проверка I закона Кирхгофа</t>
  </si>
  <si>
    <t>Таблица  2.5</t>
  </si>
  <si>
    <t>Уравнения I3=a*I2+b</t>
  </si>
  <si>
    <t>Проверка линейных соотношений</t>
  </si>
  <si>
    <t>128,7=a*111,4+b</t>
  </si>
  <si>
    <r>
      <rPr>
        <sz val="10"/>
        <rFont val="Arial"/>
        <family val="2"/>
        <charset val="1"/>
      </rPr>
      <t xml:space="preserve">Фактические значения </t>
    </r>
    <r>
      <rPr>
        <i/>
        <sz val="10"/>
        <rFont val="Arial"/>
        <family val="2"/>
        <charset val="1"/>
      </rPr>
      <t xml:space="preserve">a </t>
    </r>
    <r>
      <rPr>
        <sz val="10"/>
        <rFont val="Arial"/>
        <family val="2"/>
        <charset val="1"/>
      </rPr>
      <t xml:space="preserve">=-3,34; </t>
    </r>
    <r>
      <rPr>
        <i/>
        <sz val="10"/>
        <rFont val="Arial"/>
        <family val="2"/>
        <charset val="1"/>
      </rPr>
      <t xml:space="preserve">b </t>
    </r>
    <r>
      <rPr>
        <sz val="10"/>
        <rFont val="Arial"/>
        <family val="2"/>
        <charset val="1"/>
      </rPr>
      <t>= 0,5</t>
    </r>
  </si>
  <si>
    <t>149,1=a*105,3+b</t>
  </si>
  <si>
    <t>Расчетные значение</t>
  </si>
  <si>
    <r>
      <rPr>
        <b/>
        <i/>
        <sz val="10"/>
        <rFont val="Arial"/>
        <family val="2"/>
        <charset val="1"/>
      </rPr>
      <t>a</t>
    </r>
    <r>
      <rPr>
        <sz val="10"/>
        <rFont val="Arial"/>
        <family val="2"/>
        <charset val="1"/>
      </rPr>
      <t xml:space="preserve"> = -R_2/R_3=-3,33 ;</t>
    </r>
    <r>
      <rPr>
        <b/>
        <i/>
        <sz val="10"/>
        <rFont val="Arial"/>
        <family val="2"/>
        <charset val="1"/>
      </rPr>
      <t>b</t>
    </r>
    <r>
      <rPr>
        <sz val="10"/>
        <rFont val="Arial"/>
        <family val="2"/>
        <charset val="1"/>
      </rPr>
      <t xml:space="preserve"> = E_2/R_3= 0,5</t>
    </r>
  </si>
  <si>
    <t>Таблица 2.6</t>
  </si>
  <si>
    <t>Расчет методом эквивалентных преобразований и наложений</t>
  </si>
  <si>
    <t>Расчеты</t>
  </si>
  <si>
    <t>I^(i)_1, мА</t>
  </si>
  <si>
    <t>I^(i)_2, мА</t>
  </si>
  <si>
    <t>I1, мА</t>
  </si>
  <si>
    <t>I2, мА</t>
  </si>
  <si>
    <t>I3, мА</t>
  </si>
  <si>
    <t>9 Вариант</t>
  </si>
  <si>
    <t>Таблица 3.2 – Снятие внешней характеристики однофазного линейного
Трансформатора</t>
  </si>
  <si>
    <t>T ,mC</t>
  </si>
  <si>
    <t>R вых</t>
  </si>
  <si>
    <t>I1, A</t>
  </si>
  <si>
    <t>q</t>
  </si>
  <si>
    <t>I2, A</t>
  </si>
  <si>
    <t>U1</t>
  </si>
  <si>
    <t>U2, B</t>
  </si>
  <si>
    <t>(T2-T1), мС</t>
  </si>
  <si>
    <t>φ1</t>
  </si>
  <si>
    <t>cosφ1</t>
  </si>
  <si>
    <t>xx</t>
  </si>
  <si>
    <t>N = U1/U2=</t>
  </si>
  <si>
    <t>85/42,2  ~</t>
  </si>
  <si>
    <t>совпадает</t>
  </si>
  <si>
    <t>T2-T1 mC</t>
  </si>
  <si>
    <t>I01</t>
  </si>
  <si>
    <t>Таблица 4.2 – Результаты определения КПД трансформатора</t>
  </si>
  <si>
    <t>Измеренные параметры</t>
  </si>
  <si>
    <t>Расчетные параметры</t>
  </si>
  <si>
    <t xml:space="preserve">Способ соединения </t>
  </si>
  <si>
    <t>I1</t>
  </si>
  <si>
    <t>U2</t>
  </si>
  <si>
    <t>I2</t>
  </si>
  <si>
    <t>P1</t>
  </si>
  <si>
    <t>S1</t>
  </si>
  <si>
    <t>Звезда</t>
  </si>
  <si>
    <t>Треугольник</t>
  </si>
  <si>
    <t>R%      прибор</t>
  </si>
  <si>
    <t>Измеряемый параметр</t>
  </si>
  <si>
    <t>Ud</t>
  </si>
  <si>
    <t>Uпр , В</t>
  </si>
  <si>
    <t>Id</t>
  </si>
  <si>
    <t>Iпр , мА</t>
  </si>
  <si>
    <t>Таблица 5.2</t>
  </si>
  <si>
    <t>Таблица 5.3</t>
  </si>
  <si>
    <t>Uобр , В</t>
  </si>
  <si>
    <t>Iобр , мА</t>
  </si>
  <si>
    <t>Тааблица 6.2</t>
  </si>
  <si>
    <t>K2</t>
  </si>
  <si>
    <t xml:space="preserve">I1, A </t>
  </si>
  <si>
    <t xml:space="preserve">U0, В  </t>
  </si>
  <si>
    <t xml:space="preserve">I0, A </t>
  </si>
  <si>
    <t xml:space="preserve">I2, A </t>
  </si>
  <si>
    <t>Таблица  6.3</t>
  </si>
  <si>
    <t>-</t>
  </si>
  <si>
    <t>Таблица 7.2</t>
  </si>
  <si>
    <t>R1, %</t>
  </si>
  <si>
    <t>U1, В</t>
  </si>
  <si>
    <t>ICT, мА</t>
  </si>
  <si>
    <t>U2, В</t>
  </si>
  <si>
    <t>Таблица 7.3</t>
  </si>
  <si>
    <t>RН, %</t>
  </si>
  <si>
    <t>Iст, мА</t>
  </si>
  <si>
    <t xml:space="preserve">Uke=5±0,25В </t>
  </si>
  <si>
    <t>Uke=0В</t>
  </si>
  <si>
    <t>R1,%</t>
  </si>
  <si>
    <t>Ib, мА</t>
  </si>
  <si>
    <t>Ube, В</t>
  </si>
  <si>
    <t>Таблица 8.2</t>
  </si>
  <si>
    <t>Таблица 8.3</t>
  </si>
  <si>
    <t>Ib=0,1 ±0,025 мА</t>
  </si>
  <si>
    <t>Ib=5±1,5 мА</t>
  </si>
  <si>
    <t>R2,%</t>
  </si>
  <si>
    <t>Ik, мА</t>
  </si>
  <si>
    <t>Rb2,%</t>
  </si>
  <si>
    <t>Ibo, мА</t>
  </si>
  <si>
    <t>Iko, мА</t>
  </si>
  <si>
    <t>Uko, В</t>
  </si>
  <si>
    <t>Таблица 9.2</t>
  </si>
  <si>
    <t>№ п/п</t>
  </si>
  <si>
    <t>Iвх, мА
PA1</t>
  </si>
  <si>
    <t>Iос, мА
PA2</t>
  </si>
  <si>
    <t>Iоу, мА
PA3</t>
  </si>
  <si>
    <t>Таблица 10.2</t>
  </si>
  <si>
    <t>Таблица 10.4</t>
  </si>
  <si>
    <t>Uвх, В
(PV1)</t>
  </si>
  <si>
    <t>Uвых, В
(PV2)</t>
  </si>
  <si>
    <t>I1, мА
(PA1)</t>
  </si>
  <si>
    <t>I2, мА
(PA2)</t>
  </si>
  <si>
    <t>Iос, мА
(PA3)</t>
  </si>
  <si>
    <t>Iоу, мА
(PA4)</t>
  </si>
  <si>
    <t>Таблица 10.6</t>
  </si>
  <si>
    <t>Iвх, мА
(PA1)</t>
  </si>
  <si>
    <t>Iос, мА
(PA2)</t>
  </si>
  <si>
    <t>Iоу, мА
(PA3)</t>
  </si>
  <si>
    <t>Uвых, В
(PV2)
(PV2)</t>
  </si>
  <si>
    <t>Iоу, мА
(PA2)Iоу, мА
(PA2)</t>
  </si>
  <si>
    <t></t>
  </si>
  <si>
    <t>2</t>
  </si>
  <si>
    <t>3</t>
  </si>
  <si>
    <t>Таблица 11.2</t>
  </si>
  <si>
    <t>Экспериментальные данные</t>
  </si>
  <si>
    <t>Результаты расчета</t>
  </si>
  <si>
    <t>Заряд</t>
  </si>
  <si>
    <t xml:space="preserve"> Разряд</t>
  </si>
  <si>
    <t>t, c</t>
  </si>
  <si>
    <t>i, мкА</t>
  </si>
  <si>
    <t>uc, В</t>
  </si>
  <si>
    <t>U0, В</t>
  </si>
  <si>
    <t>I0, A</t>
  </si>
  <si>
    <t>U0/U1</t>
  </si>
  <si>
    <t>y/n*(1-y)</t>
  </si>
  <si>
    <t>Таблица 12.2</t>
  </si>
  <si>
    <t>Таблица 12.3</t>
  </si>
  <si>
    <t>Um, B</t>
  </si>
  <si>
    <t>KП2</t>
  </si>
  <si>
    <t>η , %</t>
  </si>
  <si>
    <t>η, %</t>
  </si>
  <si>
    <t>η=P0/P1</t>
  </si>
  <si>
    <t xml:space="preserve"> η=P0/P1</t>
  </si>
  <si>
    <t>η%</t>
  </si>
  <si>
    <t>T2-T1</t>
  </si>
  <si>
    <t>ms</t>
  </si>
  <si>
    <t>T</t>
  </si>
  <si>
    <t>Из ms в c</t>
  </si>
  <si>
    <t>c</t>
  </si>
  <si>
    <t>S2 P2</t>
  </si>
  <si>
    <t xml:space="preserve">не верный треугольник. IL НЕ соответствует </t>
  </si>
  <si>
    <t>звезда</t>
  </si>
  <si>
    <t>треугольник</t>
  </si>
  <si>
    <t>η</t>
  </si>
  <si>
    <t>в СИ</t>
  </si>
  <si>
    <t>Нормальная темпиратура</t>
  </si>
  <si>
    <t>Повышеная темпиратура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</si>
</sst>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0"/>
      <name val="Arial"/>
      <family val="2"/>
      <charset val="1"/>
    </font>
    <font>
      <b/>
      <i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color rgb="FF000000"/>
      <name val="Arial"/>
      <family val="2"/>
      <charset val="1"/>
    </font>
    <font>
      <i/>
      <sz val="10"/>
      <name val="Arial"/>
      <family val="2"/>
      <charset val="1"/>
    </font>
    <font>
      <b/>
      <sz val="10"/>
      <name val="Arial"/>
      <family val="2"/>
    </font>
    <font>
      <b/>
      <sz val="10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rgb="FFFDE9A9"/>
        <bgColor rgb="FFFFFFCC"/>
      </patternFill>
    </fill>
    <fill>
      <patternFill patternType="solid">
        <fgColor rgb="FFCCF4C6"/>
        <bgColor rgb="FFCCFFFF"/>
      </patternFill>
    </fill>
    <fill>
      <patternFill patternType="solid">
        <fgColor rgb="FFF2CBF8"/>
        <bgColor rgb="FFFFCC99"/>
      </patternFill>
    </fill>
    <fill>
      <patternFill patternType="solid">
        <fgColor rgb="FFAADCF7"/>
        <bgColor rgb="FFCCF4C6"/>
      </patternFill>
    </fill>
    <fill>
      <patternFill patternType="solid">
        <fgColor rgb="FFFF989B"/>
        <bgColor rgb="FFFF8080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</borders>
  <cellStyleXfs count="1">
    <xf numFmtId="0" fontId="0" fillId="0" borderId="0"/>
  </cellStyleXfs>
  <cellXfs count="100">
    <xf numFmtId="0" fontId="0" fillId="0" borderId="0" xfId="0"/>
    <xf numFmtId="0" fontId="0" fillId="0" borderId="0" xfId="0" applyAlignment="1" applyProtection="1"/>
    <xf numFmtId="0" fontId="1" fillId="0" borderId="0" xfId="0" applyFont="1" applyBorder="1" applyAlignment="1" applyProtection="1"/>
    <xf numFmtId="0" fontId="1" fillId="0" borderId="0" xfId="0" applyFont="1" applyAlignment="1" applyProtection="1"/>
    <xf numFmtId="0" fontId="0" fillId="0" borderId="0" xfId="0" applyAlignment="1" applyProtection="1">
      <alignment horizontal="center" vertical="center" wrapText="1"/>
    </xf>
    <xf numFmtId="0" fontId="2" fillId="0" borderId="1" xfId="0" applyFont="1" applyBorder="1" applyAlignment="1" applyProtection="1">
      <alignment horizontal="center" vertical="center" wrapText="1"/>
    </xf>
    <xf numFmtId="0" fontId="0" fillId="0" borderId="0" xfId="0" applyBorder="1" applyAlignment="1" applyProtection="1">
      <alignment horizontal="center" vertical="center" wrapText="1"/>
    </xf>
    <xf numFmtId="0" fontId="3" fillId="4" borderId="1" xfId="0" applyFont="1" applyFill="1" applyBorder="1" applyAlignment="1" applyProtection="1">
      <alignment horizontal="center" vertical="center" wrapText="1"/>
    </xf>
    <xf numFmtId="0" fontId="0" fillId="0" borderId="1" xfId="0" applyBorder="1" applyAlignment="1" applyProtection="1">
      <alignment horizontal="center" vertical="center" wrapText="1"/>
    </xf>
    <xf numFmtId="0" fontId="0" fillId="4" borderId="1" xfId="0" applyFill="1" applyBorder="1" applyAlignment="1" applyProtection="1">
      <alignment horizontal="center" vertical="center" wrapText="1"/>
    </xf>
    <xf numFmtId="4" fontId="2" fillId="0" borderId="1" xfId="0" applyNumberFormat="1" applyFont="1" applyBorder="1" applyAlignment="1" applyProtection="1">
      <alignment horizontal="center" vertical="center" wrapText="1"/>
    </xf>
    <xf numFmtId="4" fontId="0" fillId="5" borderId="1" xfId="0" applyNumberFormat="1" applyFont="1" applyFill="1" applyBorder="1" applyAlignment="1" applyProtection="1">
      <alignment horizontal="center" vertical="center" wrapText="1"/>
    </xf>
    <xf numFmtId="4" fontId="0" fillId="0" borderId="0" xfId="0" applyNumberFormat="1" applyAlignment="1" applyProtection="1">
      <alignment horizontal="center" vertical="center" wrapText="1"/>
    </xf>
    <xf numFmtId="0" fontId="0" fillId="4" borderId="1" xfId="0" applyFont="1" applyFill="1" applyBorder="1" applyAlignment="1" applyProtection="1">
      <alignment horizontal="center" vertical="center" wrapText="1"/>
    </xf>
    <xf numFmtId="0" fontId="0" fillId="0" borderId="1" xfId="0" applyFont="1" applyBorder="1" applyAlignment="1" applyProtection="1">
      <alignment horizontal="center" vertical="center" wrapText="1"/>
    </xf>
    <xf numFmtId="2" fontId="0" fillId="5" borderId="1" xfId="0" applyNumberFormat="1" applyFill="1" applyBorder="1" applyAlignment="1" applyProtection="1">
      <alignment horizontal="center" vertical="center" wrapText="1"/>
    </xf>
    <xf numFmtId="0" fontId="2" fillId="0" borderId="1" xfId="0" applyFont="1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 wrapText="1"/>
    </xf>
    <xf numFmtId="0" fontId="0" fillId="0" borderId="1" xfId="0" applyFont="1" applyBorder="1" applyAlignment="1" applyProtection="1">
      <alignment horizontal="center" vertical="center"/>
    </xf>
    <xf numFmtId="4" fontId="0" fillId="0" borderId="2" xfId="0" applyNumberFormat="1" applyBorder="1" applyAlignment="1" applyProtection="1">
      <alignment horizontal="center" vertical="center"/>
    </xf>
    <xf numFmtId="4" fontId="0" fillId="0" borderId="3" xfId="0" applyNumberFormat="1" applyFont="1" applyBorder="1" applyAlignment="1" applyProtection="1">
      <alignment horizontal="center" vertical="center"/>
    </xf>
    <xf numFmtId="0" fontId="0" fillId="0" borderId="4" xfId="0" applyFont="1" applyBorder="1" applyAlignment="1" applyProtection="1">
      <alignment horizontal="center" vertical="center"/>
    </xf>
    <xf numFmtId="4" fontId="0" fillId="0" borderId="5" xfId="0" applyNumberFormat="1" applyBorder="1" applyAlignment="1" applyProtection="1">
      <alignment horizontal="center" vertical="center"/>
    </xf>
    <xf numFmtId="4" fontId="0" fillId="0" borderId="6" xfId="0" applyNumberFormat="1" applyFont="1" applyBorder="1" applyAlignment="1" applyProtection="1">
      <alignment horizontal="center" vertical="center"/>
    </xf>
    <xf numFmtId="0" fontId="0" fillId="0" borderId="7" xfId="0" applyFont="1" applyBorder="1" applyAlignment="1" applyProtection="1">
      <alignment horizontal="center" vertical="center"/>
    </xf>
    <xf numFmtId="4" fontId="0" fillId="0" borderId="1" xfId="0" applyNumberFormat="1" applyBorder="1" applyAlignment="1" applyProtection="1">
      <alignment horizontal="center" vertical="center" wrapText="1"/>
    </xf>
    <xf numFmtId="0" fontId="0" fillId="0" borderId="2" xfId="0" applyFont="1" applyBorder="1" applyAlignment="1" applyProtection="1">
      <alignment horizontal="center" vertical="center"/>
    </xf>
    <xf numFmtId="0" fontId="0" fillId="0" borderId="3" xfId="0" applyFont="1" applyBorder="1" applyAlignment="1" applyProtection="1">
      <alignment horizontal="center" vertical="center"/>
    </xf>
    <xf numFmtId="0" fontId="0" fillId="0" borderId="5" xfId="0" applyFont="1" applyBorder="1" applyAlignment="1" applyProtection="1">
      <alignment horizontal="center" vertical="center"/>
    </xf>
    <xf numFmtId="0" fontId="0" fillId="0" borderId="6" xfId="0" applyFont="1" applyBorder="1" applyAlignment="1" applyProtection="1">
      <alignment horizontal="center" vertical="center"/>
    </xf>
    <xf numFmtId="4" fontId="0" fillId="0" borderId="0" xfId="0" applyNumberFormat="1" applyAlignment="1" applyProtection="1"/>
    <xf numFmtId="4" fontId="0" fillId="0" borderId="8" xfId="0" applyNumberFormat="1" applyBorder="1" applyAlignment="1" applyProtection="1"/>
    <xf numFmtId="0" fontId="0" fillId="0" borderId="9" xfId="0" applyBorder="1" applyAlignment="1" applyProtection="1">
      <alignment horizontal="center" vertical="center"/>
    </xf>
    <xf numFmtId="4" fontId="0" fillId="0" borderId="9" xfId="0" applyNumberFormat="1" applyBorder="1" applyAlignment="1" applyProtection="1">
      <alignment horizontal="center" vertical="center"/>
    </xf>
    <xf numFmtId="0" fontId="0" fillId="0" borderId="10" xfId="0" applyFont="1" applyBorder="1" applyAlignment="1" applyProtection="1">
      <alignment horizontal="center" vertical="center"/>
    </xf>
    <xf numFmtId="4" fontId="0" fillId="0" borderId="8" xfId="0" applyNumberFormat="1" applyBorder="1" applyAlignment="1" applyProtection="1">
      <alignment horizontal="center" vertical="center"/>
    </xf>
    <xf numFmtId="4" fontId="0" fillId="0" borderId="10" xfId="0" applyNumberFormat="1" applyBorder="1" applyAlignment="1" applyProtection="1">
      <alignment horizontal="center" vertical="center"/>
    </xf>
    <xf numFmtId="4" fontId="0" fillId="0" borderId="1" xfId="0" applyNumberFormat="1" applyFont="1" applyBorder="1" applyAlignment="1" applyProtection="1">
      <alignment horizontal="center" vertical="center"/>
    </xf>
    <xf numFmtId="0" fontId="0" fillId="0" borderId="8" xfId="0" applyFont="1" applyBorder="1" applyAlignment="1" applyProtection="1">
      <alignment horizontal="center" vertical="center"/>
    </xf>
    <xf numFmtId="0" fontId="0" fillId="0" borderId="2" xfId="0" applyFont="1" applyBorder="1" applyAlignment="1" applyProtection="1"/>
    <xf numFmtId="0" fontId="0" fillId="0" borderId="3" xfId="0" applyFont="1" applyBorder="1" applyAlignment="1" applyProtection="1"/>
    <xf numFmtId="4" fontId="0" fillId="0" borderId="4" xfId="0" applyNumberFormat="1" applyBorder="1" applyAlignment="1" applyProtection="1"/>
    <xf numFmtId="0" fontId="0" fillId="0" borderId="5" xfId="0" applyFont="1" applyBorder="1" applyAlignment="1" applyProtection="1"/>
    <xf numFmtId="0" fontId="0" fillId="0" borderId="6" xfId="0" applyFont="1" applyBorder="1" applyAlignment="1" applyProtection="1"/>
    <xf numFmtId="4" fontId="0" fillId="0" borderId="7" xfId="0" applyNumberFormat="1" applyBorder="1" applyAlignment="1" applyProtection="1"/>
    <xf numFmtId="0" fontId="0" fillId="0" borderId="0" xfId="0" applyFont="1" applyAlignment="1" applyProtection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/>
    <xf numFmtId="4" fontId="0" fillId="0" borderId="1" xfId="0" applyNumberFormat="1" applyBorder="1"/>
    <xf numFmtId="0" fontId="0" fillId="0" borderId="0" xfId="0" applyFon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4" fontId="0" fillId="0" borderId="0" xfId="0" applyNumberFormat="1"/>
    <xf numFmtId="0" fontId="5" fillId="0" borderId="0" xfId="0" applyFont="1"/>
    <xf numFmtId="0" fontId="0" fillId="0" borderId="0" xfId="0" applyFont="1" applyAlignment="1" applyProtection="1"/>
    <xf numFmtId="0" fontId="0" fillId="0" borderId="0" xfId="0" applyBorder="1" applyAlignment="1"/>
    <xf numFmtId="0" fontId="0" fillId="0" borderId="0" xfId="0" applyAlignment="1">
      <alignment horizontal="center" vertical="center" wrapText="1"/>
    </xf>
    <xf numFmtId="0" fontId="0" fillId="0" borderId="1" xfId="0" applyBorder="1"/>
    <xf numFmtId="0" fontId="0" fillId="0" borderId="0" xfId="0" applyAlignme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Border="1"/>
    <xf numFmtId="10" fontId="0" fillId="0" borderId="1" xfId="0" applyNumberFormat="1" applyBorder="1" applyAlignment="1" applyProtection="1">
      <alignment horizontal="center" vertical="center" wrapText="1"/>
    </xf>
    <xf numFmtId="164" fontId="0" fillId="0" borderId="0" xfId="0" applyNumberFormat="1" applyFont="1" applyAlignment="1" applyProtection="1">
      <alignment horizontal="center" vertical="center" wrapText="1"/>
    </xf>
    <xf numFmtId="164" fontId="0" fillId="0" borderId="0" xfId="0" applyNumberFormat="1"/>
    <xf numFmtId="164" fontId="0" fillId="0" borderId="1" xfId="0" applyNumberFormat="1" applyBorder="1" applyAlignment="1" applyProtection="1">
      <alignment horizontal="center" vertical="center" wrapText="1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 applyProtection="1">
      <alignment horizontal="center" vertical="center" wrapText="1"/>
    </xf>
    <xf numFmtId="0" fontId="6" fillId="0" borderId="1" xfId="0" applyFont="1" applyBorder="1" applyAlignment="1" applyProtection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2" fontId="0" fillId="0" borderId="0" xfId="0" applyNumberFormat="1"/>
    <xf numFmtId="0" fontId="1" fillId="2" borderId="1" xfId="0" applyFont="1" applyFill="1" applyBorder="1" applyAlignment="1" applyProtection="1">
      <alignment horizontal="center" vertical="center"/>
    </xf>
    <xf numFmtId="0" fontId="2" fillId="3" borderId="1" xfId="0" applyFont="1" applyFill="1" applyBorder="1" applyAlignment="1" applyProtection="1">
      <alignment horizontal="center" vertical="center" wrapText="1"/>
    </xf>
    <xf numFmtId="0" fontId="2" fillId="0" borderId="1" xfId="0" applyFont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 wrapText="1"/>
    </xf>
    <xf numFmtId="0" fontId="2" fillId="6" borderId="1" xfId="0" applyFont="1" applyFill="1" applyBorder="1" applyAlignment="1" applyProtection="1">
      <alignment horizontal="center" vertical="center" wrapText="1"/>
    </xf>
    <xf numFmtId="0" fontId="2" fillId="0" borderId="1" xfId="0" applyFont="1" applyBorder="1" applyAlignment="1" applyProtection="1">
      <alignment horizontal="center" vertical="center"/>
    </xf>
    <xf numFmtId="4" fontId="0" fillId="0" borderId="1" xfId="0" applyNumberFormat="1" applyFont="1" applyBorder="1" applyAlignment="1" applyProtection="1">
      <alignment horizontal="center" vertical="center" wrapText="1"/>
    </xf>
    <xf numFmtId="0" fontId="1" fillId="0" borderId="1" xfId="0" applyFont="1" applyBorder="1" applyAlignment="1" applyProtection="1">
      <alignment horizontal="center" vertical="center" wrapText="1"/>
    </xf>
    <xf numFmtId="0" fontId="0" fillId="0" borderId="0" xfId="0" applyFont="1" applyBorder="1" applyAlignment="1" applyProtection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 applyFont="1" applyBorder="1" applyAlignment="1" applyProtection="1">
      <alignment horizontal="center" vertical="center" wrapText="1"/>
    </xf>
    <xf numFmtId="164" fontId="2" fillId="0" borderId="1" xfId="0" applyNumberFormat="1" applyFont="1" applyBorder="1" applyAlignment="1" applyProtection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12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66FF420E"/>
      <rgbColor rgb="FF2CEE0E"/>
      <rgbColor rgb="FF0000FF"/>
      <rgbColor rgb="FFFFFF00"/>
      <rgbColor rgb="FFFF00FF"/>
      <rgbColor rgb="FF00FFFF"/>
      <rgbColor rgb="FF800000"/>
      <rgbColor rgb="FF106802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F2CB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A0FC"/>
      <rgbColor rgb="FFCCFFFF"/>
      <rgbColor rgb="FFCCF4C6"/>
      <rgbColor rgb="FFFDE9A9"/>
      <rgbColor rgb="FFAADCF7"/>
      <rgbColor rgb="FFFF989B"/>
      <rgbColor rgb="FFCC99FF"/>
      <rgbColor rgb="FFFFCC99"/>
      <rgbColor rgb="FF3366FF"/>
      <rgbColor rgb="FF33CCCC"/>
      <rgbColor rgb="FF99CC00"/>
      <rgbColor rgb="FFFFD320"/>
      <rgbColor rgb="FFFF9900"/>
      <rgbColor rgb="FFFF420E"/>
      <rgbColor rgb="FF666699"/>
      <rgbColor rgb="FF969696"/>
      <rgbColor rgb="FF023F62"/>
      <rgbColor rgb="FF339966"/>
      <rgbColor rgb="FF003300"/>
      <rgbColor rgb="FF333300"/>
      <rgbColor rgb="FF993300"/>
      <rgbColor rgb="FF993366"/>
      <rgbColor rgb="FF00458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rPr>
              <a:t>1.4</a:t>
            </a:r>
          </a:p>
          <a:p>
            <a:pPr>
              <a:defRPr sz="1300" b="0" u="none" strike="noStrike">
                <a:uFillTx/>
                <a:latin typeface="Arial"/>
              </a:defRPr>
            </a:pPr>
            <a:r>
              <a:rPr sz="11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rPr>
              <a:t>BAX резисторов</a:t>
            </a:r>
          </a:p>
        </c:rich>
      </c:tx>
      <c:layout>
        <c:manualLayout>
          <c:xMode val="edge"/>
          <c:yMode val="edge"/>
          <c:x val="5.3428317008014301E-3"/>
          <c:y val="1.63393794033878E-2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55585999041"/>
          <c:y val="0.18692849647729001"/>
          <c:w val="0.83622165901774104"/>
          <c:h val="0.61624943786538799"/>
        </c:manualLayout>
      </c:layout>
      <c:scatterChart>
        <c:scatterStyle val="lineMarker"/>
        <c:varyColors val="0"/>
        <c:ser>
          <c:idx val="0"/>
          <c:order val="0"/>
          <c:tx>
            <c:strRef>
              <c:f>'1 лаба'!$A$15</c:f>
              <c:strCache>
                <c:ptCount val="1"/>
                <c:pt idx="0">
                  <c:v>J1</c:v>
                </c:pt>
              </c:strCache>
            </c:strRef>
          </c:tx>
          <c:spPr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  <a:endParaRPr lang="ru-RU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8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'1 лаба'!$D$15:$F$15</c:f>
              <c:numCache>
                <c:formatCode>General</c:formatCode>
                <c:ptCount val="3"/>
                <c:pt idx="0">
                  <c:v>41.33</c:v>
                </c:pt>
                <c:pt idx="1">
                  <c:v>20.190000000000001</c:v>
                </c:pt>
                <c:pt idx="2">
                  <c:v>4.04</c:v>
                </c:pt>
              </c:numCache>
            </c:numRef>
          </c:xVal>
          <c:yVal>
            <c:numRef>
              <c:f>'1 лаба'!$D$16:$F$16</c:f>
              <c:numCache>
                <c:formatCode>General</c:formatCode>
                <c:ptCount val="3"/>
                <c:pt idx="0">
                  <c:v>50.46</c:v>
                </c:pt>
                <c:pt idx="1">
                  <c:v>50.48</c:v>
                </c:pt>
                <c:pt idx="2">
                  <c:v>50.5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40-4919-A616-3EDD7656B8C9}"/>
            </c:ext>
          </c:extLst>
        </c:ser>
        <c:ser>
          <c:idx val="1"/>
          <c:order val="1"/>
          <c:tx>
            <c:strRef>
              <c:f>'1 лаба'!$A$17</c:f>
              <c:strCache>
                <c:ptCount val="1"/>
                <c:pt idx="0">
                  <c:v>J2</c:v>
                </c:pt>
              </c:strCache>
            </c:strRef>
          </c:tx>
          <c:spPr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  <a:endParaRPr lang="ru-RU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8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'1 лаба'!$D$17:$F$17</c:f>
              <c:numCache>
                <c:formatCode>General</c:formatCode>
                <c:ptCount val="3"/>
                <c:pt idx="0">
                  <c:v>36.83</c:v>
                </c:pt>
                <c:pt idx="1">
                  <c:v>17.989999999999998</c:v>
                </c:pt>
                <c:pt idx="2">
                  <c:v>3.6</c:v>
                </c:pt>
              </c:numCache>
            </c:numRef>
          </c:xVal>
          <c:yVal>
            <c:numRef>
              <c:f>'1 лаба'!$D$18:$F$18</c:f>
              <c:numCache>
                <c:formatCode>General</c:formatCode>
                <c:ptCount val="3"/>
                <c:pt idx="0">
                  <c:v>44.97</c:v>
                </c:pt>
                <c:pt idx="1">
                  <c:v>44.98</c:v>
                </c:pt>
                <c:pt idx="2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B40-4919-A616-3EDD7656B8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481720"/>
        <c:axId val="29972805"/>
      </c:scatterChart>
      <c:valAx>
        <c:axId val="3348172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rPr>
                  <a:t>Напряжение U[B]</a:t>
                </a:r>
              </a:p>
            </c:rich>
          </c:tx>
          <c:layout>
            <c:manualLayout>
              <c:xMode val="edge"/>
              <c:yMode val="edge"/>
              <c:x val="0.43674224261935801"/>
              <c:y val="0.89821615949632705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  <a:endParaRPr lang="ru-RU"/>
          </a:p>
        </c:txPr>
        <c:crossAx val="29972805"/>
        <c:crosses val="autoZero"/>
        <c:crossBetween val="midCat"/>
      </c:valAx>
      <c:valAx>
        <c:axId val="2997280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rPr>
                  <a:t>Сила тока I[A]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  <a:endParaRPr lang="ru-RU"/>
          </a:p>
        </c:txPr>
        <c:crossAx val="33481720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  <a:ea typeface="DejaVu Sans"/>
            </a:defRPr>
          </a:pPr>
          <a:endParaRPr lang="ru-RU"/>
        </a:p>
      </c:txPr>
    </c:legend>
    <c:plotVisOnly val="1"/>
    <c:dispBlanksAs val="span"/>
    <c:showDLblsOverMax val="1"/>
  </c:chart>
  <c:spPr>
    <a:solidFill>
      <a:srgbClr val="FFFFFF"/>
    </a:solidFill>
    <a:ln w="0"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rPr>
              <a:t>1.2</a:t>
            </a:r>
          </a:p>
          <a:p>
            <a:pPr>
              <a:defRPr sz="1300" b="0" u="none" strike="noStrike">
                <a:uFillTx/>
                <a:latin typeface="Arial"/>
              </a:defRPr>
            </a:pPr>
            <a:r>
              <a:rPr sz="11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rPr>
              <a:t>BAX резисторов</a:t>
            </a:r>
          </a:p>
        </c:rich>
      </c:tx>
      <c:layout>
        <c:manualLayout>
          <c:xMode val="edge"/>
          <c:yMode val="edge"/>
          <c:x val="5.3424657534246597E-3"/>
          <c:y val="1.63393794033878E-2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54794520547899"/>
          <c:y val="0.18692849647729001"/>
          <c:w val="0.83623287671232904"/>
          <c:h val="0.61624943786538799"/>
        </c:manualLayout>
      </c:layout>
      <c:scatterChart>
        <c:scatterStyle val="lineMarker"/>
        <c:varyColors val="0"/>
        <c:ser>
          <c:idx val="0"/>
          <c:order val="0"/>
          <c:tx>
            <c:strRef>
              <c:f>'1 лаба'!$C$8</c:f>
              <c:strCache>
                <c:ptCount val="1"/>
                <c:pt idx="0">
                  <c:v>E1 (III)</c:v>
                </c:pt>
              </c:strCache>
            </c:strRef>
          </c:tx>
          <c:spPr>
            <a:ln w="28800">
              <a:solidFill>
                <a:srgbClr val="2CEE0E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  <a:endParaRPr lang="ru-RU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8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'1 лаба'!$E$8:$G$8</c:f>
              <c:numCache>
                <c:formatCode>General</c:formatCode>
                <c:ptCount val="3"/>
                <c:pt idx="0">
                  <c:v>45</c:v>
                </c:pt>
                <c:pt idx="1">
                  <c:v>44.89</c:v>
                </c:pt>
                <c:pt idx="2">
                  <c:v>44.44</c:v>
                </c:pt>
              </c:numCache>
            </c:numRef>
          </c:xVal>
          <c:yVal>
            <c:numRef>
              <c:f>'1 лаба'!$E$9:$G$9</c:f>
              <c:numCache>
                <c:formatCode>General</c:formatCode>
                <c:ptCount val="3"/>
                <c:pt idx="0">
                  <c:v>54.87</c:v>
                </c:pt>
                <c:pt idx="1">
                  <c:v>112.2</c:v>
                </c:pt>
                <c:pt idx="2">
                  <c:v>555.6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FD2-4352-B35E-371E5D10E1F9}"/>
            </c:ext>
          </c:extLst>
        </c:ser>
        <c:ser>
          <c:idx val="1"/>
          <c:order val="1"/>
          <c:tx>
            <c:strRef>
              <c:f>'1 лаба'!$C$10</c:f>
              <c:strCache>
                <c:ptCount val="1"/>
                <c:pt idx="0">
                  <c:v>E2 (IV)</c:v>
                </c:pt>
              </c:strCache>
            </c:strRef>
          </c:tx>
          <c:spPr>
            <a:ln w="28800">
              <a:solidFill>
                <a:srgbClr val="10680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  <a:endParaRPr lang="ru-RU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8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'1 лаба'!$E$10:$G$10</c:f>
              <c:numCache>
                <c:formatCode>General</c:formatCode>
                <c:ptCount val="3"/>
                <c:pt idx="0">
                  <c:v>50.38</c:v>
                </c:pt>
                <c:pt idx="1">
                  <c:v>50.25</c:v>
                </c:pt>
                <c:pt idx="2">
                  <c:v>49.27</c:v>
                </c:pt>
              </c:numCache>
            </c:numRef>
          </c:xVal>
          <c:yVal>
            <c:numRef>
              <c:f>'1 лаба'!$E$11:$G$11</c:f>
              <c:numCache>
                <c:formatCode>General</c:formatCode>
                <c:ptCount val="3"/>
                <c:pt idx="0">
                  <c:v>61.5</c:v>
                </c:pt>
                <c:pt idx="1">
                  <c:v>125.6</c:v>
                </c:pt>
                <c:pt idx="2">
                  <c:v>615.9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FD2-4352-B35E-371E5D10E1F9}"/>
            </c:ext>
          </c:extLst>
        </c:ser>
        <c:ser>
          <c:idx val="2"/>
          <c:order val="2"/>
          <c:tx>
            <c:strRef>
              <c:f>'1 лаба'!$C$6</c:f>
              <c:strCache>
                <c:ptCount val="1"/>
                <c:pt idx="0">
                  <c:v>E2 (II)</c:v>
                </c:pt>
              </c:strCache>
            </c:strRef>
          </c:tx>
          <c:spPr>
            <a:ln w="28800">
              <a:solidFill>
                <a:srgbClr val="00A0FC"/>
              </a:solidFill>
              <a:round/>
            </a:ln>
          </c:spPr>
          <c:marker>
            <c:symbol val="none"/>
          </c:marker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2-4FD2-4352-B35E-371E5D10E1F9}"/>
              </c:ext>
            </c:extLst>
          </c:dPt>
          <c:dLbls>
            <c:dLbl>
              <c:idx val="2"/>
              <c:spPr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  <a:endParaRPr lang="ru-RU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FD2-4352-B35E-371E5D10E1F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  <a:endParaRPr lang="ru-RU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8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'1 лаба'!$E$6:$G$6</c:f>
              <c:numCache>
                <c:formatCode>General</c:formatCode>
                <c:ptCount val="3"/>
                <c:pt idx="0">
                  <c:v>50.5</c:v>
                </c:pt>
                <c:pt idx="1">
                  <c:v>50.5</c:v>
                </c:pt>
                <c:pt idx="2">
                  <c:v>50.5</c:v>
                </c:pt>
              </c:numCache>
            </c:numRef>
          </c:xVal>
          <c:yVal>
            <c:numRef>
              <c:f>'1 лаба'!$E$7:$G$7</c:f>
              <c:numCache>
                <c:formatCode>General</c:formatCode>
                <c:ptCount val="3"/>
                <c:pt idx="0">
                  <c:v>61.65</c:v>
                </c:pt>
                <c:pt idx="1">
                  <c:v>126.2</c:v>
                </c:pt>
                <c:pt idx="2">
                  <c:v>631.29999999999995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FD2-4352-B35E-371E5D10E1F9}"/>
            </c:ext>
          </c:extLst>
        </c:ser>
        <c:ser>
          <c:idx val="3"/>
          <c:order val="3"/>
          <c:tx>
            <c:strRef>
              <c:f>'1 лаба'!$C$4</c:f>
              <c:strCache>
                <c:ptCount val="1"/>
                <c:pt idx="0">
                  <c:v>E1 (I)</c:v>
                </c:pt>
              </c:strCache>
            </c:strRef>
          </c:tx>
          <c:spPr>
            <a:ln w="28800">
              <a:solidFill>
                <a:srgbClr val="023F6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  <a:endParaRPr lang="ru-RU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8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'1 лаба'!$E$4:$G$4</c:f>
              <c:numCache>
                <c:formatCode>General</c:formatCode>
                <c:ptCount val="3"/>
                <c:pt idx="0">
                  <c:v>45</c:v>
                </c:pt>
                <c:pt idx="1">
                  <c:v>45</c:v>
                </c:pt>
                <c:pt idx="2">
                  <c:v>45</c:v>
                </c:pt>
              </c:numCache>
            </c:numRef>
          </c:xVal>
          <c:yVal>
            <c:numRef>
              <c:f>'1 лаба'!$E$5:$G$5</c:f>
              <c:numCache>
                <c:formatCode>General</c:formatCode>
                <c:ptCount val="3"/>
                <c:pt idx="0">
                  <c:v>54.94</c:v>
                </c:pt>
                <c:pt idx="1">
                  <c:v>112.5</c:v>
                </c:pt>
                <c:pt idx="2">
                  <c:v>562.5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FD2-4352-B35E-371E5D10E1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87619"/>
        <c:axId val="84551422"/>
      </c:scatterChart>
      <c:valAx>
        <c:axId val="1158761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rPr>
                  <a:t>Напряжение U[B]</a:t>
                </a:r>
              </a:p>
            </c:rich>
          </c:tx>
          <c:layout>
            <c:manualLayout>
              <c:xMode val="edge"/>
              <c:yMode val="edge"/>
              <c:x val="0.43678082191780798"/>
              <c:y val="0.89821615949632705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  <a:endParaRPr lang="ru-RU"/>
          </a:p>
        </c:txPr>
        <c:crossAx val="84551422"/>
        <c:crosses val="autoZero"/>
        <c:crossBetween val="midCat"/>
      </c:valAx>
      <c:valAx>
        <c:axId val="8455142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rPr>
                  <a:t>Сила тока I[A]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  <a:endParaRPr lang="ru-RU"/>
          </a:p>
        </c:txPr>
        <c:crossAx val="11587619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layout>
        <c:manualLayout>
          <c:xMode val="edge"/>
          <c:yMode val="edge"/>
          <c:x val="0.34917482709032399"/>
          <c:y val="0"/>
          <c:w val="0.64361046431995605"/>
          <c:h val="0.156877434821696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  <a:ea typeface="DejaVu Sans"/>
            </a:defRPr>
          </a:pPr>
          <a:endParaRPr lang="ru-RU"/>
        </a:p>
      </c:txPr>
    </c:legend>
    <c:plotVisOnly val="1"/>
    <c:dispBlanksAs val="span"/>
    <c:showDLblsOverMax val="1"/>
  </c:chart>
  <c:spPr>
    <a:solidFill>
      <a:srgbClr val="FFFFFF"/>
    </a:solidFill>
    <a:ln w="0"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rPr>
              <a:t>1.6</a:t>
            </a:r>
          </a:p>
          <a:p>
            <a:pPr>
              <a:defRPr sz="1300" b="0" u="none" strike="noStrike">
                <a:uFillTx/>
                <a:latin typeface="Arial"/>
              </a:defRPr>
            </a:pPr>
            <a:r>
              <a:rPr sz="11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rPr>
              <a:t>BAX резисторов</a:t>
            </a:r>
          </a:p>
        </c:rich>
      </c:tx>
      <c:layout>
        <c:manualLayout>
          <c:xMode val="edge"/>
          <c:yMode val="edge"/>
          <c:x val="5.3424657534246597E-3"/>
          <c:y val="1.63393794033878E-2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54794520547899"/>
          <c:y val="0.18692849647729001"/>
          <c:w val="0.83623287671232904"/>
          <c:h val="0.61624943786538799"/>
        </c:manualLayout>
      </c:layout>
      <c:scatterChart>
        <c:scatterStyle val="lineMarker"/>
        <c:varyColors val="0"/>
        <c:ser>
          <c:idx val="0"/>
          <c:order val="0"/>
          <c:tx>
            <c:strRef>
              <c:f>'1 лаба'!$A$22</c:f>
              <c:strCache>
                <c:ptCount val="1"/>
                <c:pt idx="0">
                  <c:v>EL1</c:v>
                </c:pt>
              </c:strCache>
            </c:strRef>
          </c:tx>
          <c:spPr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  <a:endParaRPr lang="ru-RU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8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'1 лаба'!$D$22:$I$22</c:f>
              <c:numCache>
                <c:formatCode>General</c:formatCode>
                <c:ptCount val="6"/>
                <c:pt idx="0">
                  <c:v>7.5469999999999997</c:v>
                </c:pt>
                <c:pt idx="1">
                  <c:v>5.4050000000000002</c:v>
                </c:pt>
                <c:pt idx="2">
                  <c:v>5.8819999999999997</c:v>
                </c:pt>
                <c:pt idx="3">
                  <c:v>6.452</c:v>
                </c:pt>
                <c:pt idx="4">
                  <c:v>7.1429999999999998</c:v>
                </c:pt>
                <c:pt idx="5">
                  <c:v>7.5469999999999997</c:v>
                </c:pt>
              </c:numCache>
            </c:numRef>
          </c:xVal>
          <c:yVal>
            <c:numRef>
              <c:f>'1 лаба'!$D$23:$I$23</c:f>
              <c:numCache>
                <c:formatCode>General</c:formatCode>
                <c:ptCount val="6"/>
                <c:pt idx="0">
                  <c:v>4.5279999999999996</c:v>
                </c:pt>
                <c:pt idx="1">
                  <c:v>3.2429999999999999</c:v>
                </c:pt>
                <c:pt idx="2">
                  <c:v>3.5289999999999999</c:v>
                </c:pt>
                <c:pt idx="3">
                  <c:v>3.871</c:v>
                </c:pt>
                <c:pt idx="4">
                  <c:v>4.2859999999999996</c:v>
                </c:pt>
                <c:pt idx="5">
                  <c:v>4.5279999999999996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208-481A-8137-3A1A2C452358}"/>
            </c:ext>
          </c:extLst>
        </c:ser>
        <c:ser>
          <c:idx val="1"/>
          <c:order val="1"/>
          <c:tx>
            <c:strRef>
              <c:f>'1 лаба'!$A$24</c:f>
              <c:strCache>
                <c:ptCount val="1"/>
                <c:pt idx="0">
                  <c:v>EL1 и EL2 параллельные</c:v>
                </c:pt>
              </c:strCache>
            </c:strRef>
          </c:tx>
          <c:spPr>
            <a:ln w="28800">
              <a:solidFill>
                <a:srgbClr val="FF420E">
                  <a:alpha val="40000"/>
                </a:srgbClr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  <a:endParaRPr lang="ru-RU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8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'1 лаба'!$D$24:$I$24</c:f>
              <c:numCache>
                <c:formatCode>General</c:formatCode>
                <c:ptCount val="6"/>
                <c:pt idx="0">
                  <c:v>3.6360000000000001</c:v>
                </c:pt>
                <c:pt idx="1">
                  <c:v>4.0819999999999999</c:v>
                </c:pt>
                <c:pt idx="2">
                  <c:v>4.6509999999999998</c:v>
                </c:pt>
                <c:pt idx="3">
                  <c:v>5.4050000000000002</c:v>
                </c:pt>
                <c:pt idx="4">
                  <c:v>6.452</c:v>
                </c:pt>
                <c:pt idx="5">
                  <c:v>7.1429999999999998</c:v>
                </c:pt>
              </c:numCache>
            </c:numRef>
          </c:xVal>
          <c:yVal>
            <c:numRef>
              <c:f>'1 лаба'!$D$25:$I$25</c:f>
              <c:numCache>
                <c:formatCode>General</c:formatCode>
                <c:ptCount val="6"/>
                <c:pt idx="0">
                  <c:v>4.3639999999999999</c:v>
                </c:pt>
                <c:pt idx="1">
                  <c:v>4.8979999999999997</c:v>
                </c:pt>
                <c:pt idx="2">
                  <c:v>5.5810000000000004</c:v>
                </c:pt>
                <c:pt idx="3">
                  <c:v>6.4859999999999998</c:v>
                </c:pt>
                <c:pt idx="4">
                  <c:v>7.742</c:v>
                </c:pt>
                <c:pt idx="5">
                  <c:v>8.5709999999999997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208-481A-8137-3A1A2C452358}"/>
            </c:ext>
          </c:extLst>
        </c:ser>
        <c:ser>
          <c:idx val="2"/>
          <c:order val="2"/>
          <c:tx>
            <c:strRef>
              <c:f>'1 лаба'!$A$26</c:f>
              <c:strCache>
                <c:ptCount val="1"/>
                <c:pt idx="0">
                  <c:v>EL3 и EL4 последовательные</c:v>
                </c:pt>
              </c:strCache>
            </c:strRef>
          </c:tx>
          <c:spPr>
            <a:ln w="28800">
              <a:solidFill>
                <a:srgbClr val="FFD32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  <a:endParaRPr lang="ru-RU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8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'1 лаба'!$D$26:$I$26</c:f>
              <c:numCache>
                <c:formatCode>General</c:formatCode>
                <c:ptCount val="6"/>
                <c:pt idx="0">
                  <c:v>3.6360000000000001</c:v>
                </c:pt>
                <c:pt idx="1">
                  <c:v>4.0819999999999999</c:v>
                </c:pt>
                <c:pt idx="2">
                  <c:v>4.6509999999999998</c:v>
                </c:pt>
                <c:pt idx="3">
                  <c:v>5.4050000000000002</c:v>
                </c:pt>
                <c:pt idx="4">
                  <c:v>6.452</c:v>
                </c:pt>
                <c:pt idx="5">
                  <c:v>7.1429999999999998</c:v>
                </c:pt>
              </c:numCache>
            </c:numRef>
          </c:xVal>
          <c:yVal>
            <c:numRef>
              <c:f>'1 лаба'!$D$27:$I$27</c:f>
              <c:numCache>
                <c:formatCode>General</c:formatCode>
                <c:ptCount val="6"/>
                <c:pt idx="0">
                  <c:v>4.3639999999999999</c:v>
                </c:pt>
                <c:pt idx="1">
                  <c:v>4.8979999999999997</c:v>
                </c:pt>
                <c:pt idx="2">
                  <c:v>5.5810000000000004</c:v>
                </c:pt>
                <c:pt idx="3">
                  <c:v>6.4859999999999998</c:v>
                </c:pt>
                <c:pt idx="4">
                  <c:v>7.742</c:v>
                </c:pt>
                <c:pt idx="5">
                  <c:v>8.5709999999999997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208-481A-8137-3A1A2C4523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382726"/>
        <c:axId val="45911212"/>
      </c:scatterChart>
      <c:valAx>
        <c:axId val="6038272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rPr>
                  <a:t>Напряжение U[B]</a:t>
                </a:r>
              </a:p>
            </c:rich>
          </c:tx>
          <c:layout>
            <c:manualLayout>
              <c:xMode val="edge"/>
              <c:yMode val="edge"/>
              <c:x val="0.43678082191780798"/>
              <c:y val="0.89821615949632705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  <a:endParaRPr lang="ru-RU"/>
          </a:p>
        </c:txPr>
        <c:crossAx val="45911212"/>
        <c:crosses val="autoZero"/>
        <c:crossBetween val="midCat"/>
      </c:valAx>
      <c:valAx>
        <c:axId val="4591121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rPr>
                  <a:t>Сила тока I[A]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  <a:endParaRPr lang="ru-RU"/>
          </a:p>
        </c:txPr>
        <c:crossAx val="60382726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layout>
        <c:manualLayout>
          <c:xMode val="edge"/>
          <c:yMode val="edge"/>
          <c:x val="0.414161473669794"/>
          <c:y val="1.64794007490637E-3"/>
          <c:w val="0.56560745103410504"/>
          <c:h val="0.178453700928978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  <a:ea typeface="DejaVu Sans"/>
            </a:defRPr>
          </a:pPr>
          <a:endParaRPr lang="ru-RU"/>
        </a:p>
      </c:txPr>
    </c:legend>
    <c:plotVisOnly val="1"/>
    <c:dispBlanksAs val="span"/>
    <c:showDLblsOverMax val="1"/>
  </c:chart>
  <c:spPr>
    <a:solidFill>
      <a:srgbClr val="FFFFFF"/>
    </a:solidFill>
    <a:ln w="0"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810000</xdr:colOff>
      <xdr:row>28</xdr:row>
      <xdr:rowOff>-360</xdr:rowOff>
    </xdr:from>
    <xdr:to>
      <xdr:col>16</xdr:col>
      <xdr:colOff>163080</xdr:colOff>
      <xdr:row>42</xdr:row>
      <xdr:rowOff>125280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28</xdr:row>
      <xdr:rowOff>-360</xdr:rowOff>
    </xdr:from>
    <xdr:to>
      <xdr:col>6</xdr:col>
      <xdr:colOff>700920</xdr:colOff>
      <xdr:row>42</xdr:row>
      <xdr:rowOff>125280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44</xdr:row>
      <xdr:rowOff>0</xdr:rowOff>
    </xdr:from>
    <xdr:to>
      <xdr:col>6</xdr:col>
      <xdr:colOff>700920</xdr:colOff>
      <xdr:row>58</xdr:row>
      <xdr:rowOff>125280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238680</xdr:colOff>
      <xdr:row>12</xdr:row>
      <xdr:rowOff>158040</xdr:rowOff>
    </xdr:from>
    <xdr:to>
      <xdr:col>2</xdr:col>
      <xdr:colOff>578880</xdr:colOff>
      <xdr:row>14</xdr:row>
      <xdr:rowOff>158040</xdr:rowOff>
    </xdr:to>
    <xdr:pic>
      <xdr:nvPicPr>
        <xdr:cNvPr id="3" name="Изображение 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51560" y="2108880"/>
          <a:ext cx="1153080" cy="325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131040</xdr:colOff>
      <xdr:row>12</xdr:row>
      <xdr:rowOff>158040</xdr:rowOff>
    </xdr:from>
    <xdr:to>
      <xdr:col>4</xdr:col>
      <xdr:colOff>723600</xdr:colOff>
      <xdr:row>14</xdr:row>
      <xdr:rowOff>152640</xdr:rowOff>
    </xdr:to>
    <xdr:pic>
      <xdr:nvPicPr>
        <xdr:cNvPr id="4" name="Изображение 2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2569320" y="2108880"/>
          <a:ext cx="1405440" cy="319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5</xdr:col>
      <xdr:colOff>438840</xdr:colOff>
      <xdr:row>13</xdr:row>
      <xdr:rowOff>8640</xdr:rowOff>
    </xdr:from>
    <xdr:to>
      <xdr:col>6</xdr:col>
      <xdr:colOff>311760</xdr:colOff>
      <xdr:row>14</xdr:row>
      <xdr:rowOff>158400</xdr:rowOff>
    </xdr:to>
    <xdr:pic>
      <xdr:nvPicPr>
        <xdr:cNvPr id="5" name="Изображение 3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4502880" y="2121840"/>
          <a:ext cx="685800" cy="3124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633639</xdr:colOff>
      <xdr:row>7</xdr:row>
      <xdr:rowOff>25853</xdr:rowOff>
    </xdr:from>
    <xdr:ext cx="65" cy="162224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EBEF38A-38CE-5EFC-F684-D00AF49525E2}"/>
            </a:ext>
          </a:extLst>
        </xdr:cNvPr>
        <xdr:cNvSpPr txBox="1"/>
      </xdr:nvSpPr>
      <xdr:spPr>
        <a:xfrm>
          <a:off x="3717925" y="1300389"/>
          <a:ext cx="65" cy="16222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633639</xdr:colOff>
      <xdr:row>7</xdr:row>
      <xdr:rowOff>25853</xdr:rowOff>
    </xdr:from>
    <xdr:ext cx="65" cy="162224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CECFD7F-DC7A-401F-6651-281142466877}"/>
            </a:ext>
          </a:extLst>
        </xdr:cNvPr>
        <xdr:cNvSpPr txBox="1"/>
      </xdr:nvSpPr>
      <xdr:spPr>
        <a:xfrm>
          <a:off x="3717925" y="1300389"/>
          <a:ext cx="65" cy="16222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633639</xdr:colOff>
      <xdr:row>7</xdr:row>
      <xdr:rowOff>157389</xdr:rowOff>
    </xdr:from>
    <xdr:ext cx="65" cy="162224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CBFA1CB-3A3B-6527-559A-2253C6386574}"/>
            </a:ext>
          </a:extLst>
        </xdr:cNvPr>
        <xdr:cNvSpPr txBox="1"/>
      </xdr:nvSpPr>
      <xdr:spPr>
        <a:xfrm>
          <a:off x="3717925" y="1300389"/>
          <a:ext cx="65" cy="16222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twoCellAnchor editAs="oneCell">
    <xdr:from>
      <xdr:col>2</xdr:col>
      <xdr:colOff>0</xdr:colOff>
      <xdr:row>10</xdr:row>
      <xdr:rowOff>1483</xdr:rowOff>
    </xdr:from>
    <xdr:to>
      <xdr:col>6</xdr:col>
      <xdr:colOff>27363</xdr:colOff>
      <xdr:row>28</xdr:row>
      <xdr:rowOff>23811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BBA84D63-81F0-9E37-755A-413C976A60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47813" y="1608827"/>
          <a:ext cx="3194425" cy="2915547"/>
        </a:xfrm>
        <a:prstGeom prst="rect">
          <a:avLst/>
        </a:prstGeom>
      </xdr:spPr>
    </xdr:pic>
    <xdr:clientData/>
  </xdr:twoCellAnchor>
  <xdr:twoCellAnchor editAs="oneCell">
    <xdr:from>
      <xdr:col>7</xdr:col>
      <xdr:colOff>5954</xdr:colOff>
      <xdr:row>9</xdr:row>
      <xdr:rowOff>148829</xdr:rowOff>
    </xdr:from>
    <xdr:to>
      <xdr:col>11</xdr:col>
      <xdr:colOff>22349</xdr:colOff>
      <xdr:row>27</xdr:row>
      <xdr:rowOff>136922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D91FE1-25A4-224B-F443-C2BD04E54C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94735" y="1595438"/>
          <a:ext cx="3254895" cy="28813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7"/>
  <sheetViews>
    <sheetView zoomScale="210" zoomScaleNormal="210" workbookViewId="0">
      <selection activeCell="I8" sqref="I8"/>
    </sheetView>
  </sheetViews>
  <sheetFormatPr defaultColWidth="11.5703125" defaultRowHeight="12.75" customHeight="1" x14ac:dyDescent="0.2"/>
  <cols>
    <col min="2" max="2" width="7" style="1" customWidth="1"/>
    <col min="9" max="9" width="12" style="1" customWidth="1"/>
    <col min="11" max="11" width="14.5703125" style="1" customWidth="1"/>
  </cols>
  <sheetData>
    <row r="1" spans="1:17" x14ac:dyDescent="0.2">
      <c r="A1" s="2" t="s">
        <v>0</v>
      </c>
      <c r="B1" s="3"/>
      <c r="C1" s="3"/>
      <c r="D1" s="3"/>
      <c r="E1" s="3"/>
      <c r="F1" s="3"/>
      <c r="G1" s="3"/>
      <c r="L1" s="70" t="s">
        <v>1</v>
      </c>
      <c r="M1" s="70"/>
      <c r="N1" s="70"/>
    </row>
    <row r="2" spans="1:17" ht="12.75" customHeight="1" x14ac:dyDescent="0.2">
      <c r="A2" s="71" t="s">
        <v>2</v>
      </c>
      <c r="B2" s="71"/>
      <c r="C2" s="71"/>
      <c r="D2" s="71"/>
      <c r="E2" s="71"/>
      <c r="F2" s="71"/>
      <c r="G2" s="71"/>
      <c r="H2" s="4"/>
      <c r="I2" s="4"/>
      <c r="J2" s="4"/>
      <c r="K2" s="4"/>
      <c r="L2" s="70"/>
      <c r="M2" s="70"/>
      <c r="N2" s="70"/>
      <c r="O2" s="4"/>
      <c r="P2" s="4"/>
      <c r="Q2" s="4"/>
    </row>
    <row r="3" spans="1:17" ht="12.75" customHeight="1" x14ac:dyDescent="0.2">
      <c r="A3" s="72" t="s">
        <v>3</v>
      </c>
      <c r="B3" s="72"/>
      <c r="C3" s="72"/>
      <c r="D3" s="5" t="s">
        <v>4</v>
      </c>
      <c r="E3" s="5" t="s">
        <v>5</v>
      </c>
      <c r="F3" s="5" t="s">
        <v>6</v>
      </c>
      <c r="G3" s="5" t="s">
        <v>7</v>
      </c>
      <c r="H3" s="4"/>
      <c r="I3" s="4"/>
      <c r="J3" s="4"/>
      <c r="K3" s="4"/>
      <c r="L3" s="4"/>
      <c r="M3" s="6"/>
      <c r="N3" s="4"/>
      <c r="O3" s="4"/>
      <c r="P3" s="4"/>
      <c r="Q3" s="4"/>
    </row>
    <row r="4" spans="1:17" ht="12.75" customHeight="1" x14ac:dyDescent="0.2">
      <c r="A4" s="72" t="s">
        <v>8</v>
      </c>
      <c r="B4" s="72"/>
      <c r="C4" s="72" t="s">
        <v>9</v>
      </c>
      <c r="D4" s="5" t="s">
        <v>10</v>
      </c>
      <c r="E4" s="7">
        <v>45</v>
      </c>
      <c r="F4" s="7">
        <v>45</v>
      </c>
      <c r="G4" s="7">
        <v>45</v>
      </c>
      <c r="H4" s="4"/>
      <c r="K4" s="72" t="s">
        <v>2</v>
      </c>
      <c r="L4" s="72"/>
      <c r="M4" s="72"/>
      <c r="N4" s="72"/>
      <c r="O4" s="72"/>
      <c r="P4" s="4"/>
      <c r="Q4" s="4"/>
    </row>
    <row r="5" spans="1:17" ht="12.75" customHeight="1" x14ac:dyDescent="0.2">
      <c r="A5" s="72"/>
      <c r="B5" s="72"/>
      <c r="C5" s="72"/>
      <c r="D5" s="5" t="s">
        <v>11</v>
      </c>
      <c r="E5" s="8">
        <v>54.94</v>
      </c>
      <c r="F5" s="8">
        <v>112.5</v>
      </c>
      <c r="G5" s="8">
        <v>562.5</v>
      </c>
      <c r="H5" s="4"/>
      <c r="K5" s="72" t="s">
        <v>3</v>
      </c>
      <c r="L5" s="72"/>
      <c r="M5" s="5" t="s">
        <v>5</v>
      </c>
      <c r="N5" s="5" t="s">
        <v>6</v>
      </c>
      <c r="O5" s="5" t="s">
        <v>7</v>
      </c>
      <c r="P5" s="4"/>
      <c r="Q5" s="4"/>
    </row>
    <row r="6" spans="1:17" ht="12.75" customHeight="1" x14ac:dyDescent="0.2">
      <c r="A6" s="72"/>
      <c r="B6" s="72"/>
      <c r="C6" s="72" t="s">
        <v>12</v>
      </c>
      <c r="D6" s="5" t="s">
        <v>10</v>
      </c>
      <c r="E6" s="9">
        <v>50.5</v>
      </c>
      <c r="F6" s="9">
        <v>50.5</v>
      </c>
      <c r="G6" s="9">
        <v>50.5</v>
      </c>
      <c r="H6" s="4"/>
      <c r="K6" s="72" t="s">
        <v>13</v>
      </c>
      <c r="L6" s="10" t="s">
        <v>14</v>
      </c>
      <c r="M6" s="11">
        <f>E4/E5</f>
        <v>0.81907535493265382</v>
      </c>
      <c r="N6" s="11">
        <f>F4/F5</f>
        <v>0.4</v>
      </c>
      <c r="O6" s="11">
        <f>G4/G5</f>
        <v>0.08</v>
      </c>
      <c r="P6" s="4"/>
      <c r="Q6" s="4"/>
    </row>
    <row r="7" spans="1:17" x14ac:dyDescent="0.2">
      <c r="A7" s="72"/>
      <c r="B7" s="72"/>
      <c r="C7" s="72"/>
      <c r="D7" s="5" t="s">
        <v>11</v>
      </c>
      <c r="E7" s="8">
        <v>61.65</v>
      </c>
      <c r="F7" s="8">
        <v>126.2</v>
      </c>
      <c r="G7" s="8">
        <v>631.29999999999995</v>
      </c>
      <c r="H7" s="4"/>
      <c r="K7" s="72"/>
      <c r="L7" s="10" t="s">
        <v>15</v>
      </c>
      <c r="M7" s="11">
        <f>E6/E7</f>
        <v>0.81914030819140315</v>
      </c>
      <c r="N7" s="11">
        <f>F6/F7</f>
        <v>0.40015847860538828</v>
      </c>
      <c r="O7" s="11">
        <f>G6/G7</f>
        <v>7.999366386820847E-2</v>
      </c>
      <c r="P7" s="4"/>
      <c r="Q7" s="4"/>
    </row>
    <row r="8" spans="1:17" ht="12.75" customHeight="1" x14ac:dyDescent="0.2">
      <c r="A8" s="72" t="s">
        <v>16</v>
      </c>
      <c r="B8" s="72"/>
      <c r="C8" s="72" t="s">
        <v>17</v>
      </c>
      <c r="D8" s="5" t="s">
        <v>10</v>
      </c>
      <c r="E8" s="9">
        <v>45</v>
      </c>
      <c r="F8" s="9">
        <v>44.89</v>
      </c>
      <c r="G8" s="9">
        <v>44.44</v>
      </c>
      <c r="H8" s="4"/>
      <c r="K8" s="72" t="s">
        <v>18</v>
      </c>
      <c r="L8" s="10" t="s">
        <v>14</v>
      </c>
      <c r="M8" s="11">
        <f>E8/E9</f>
        <v>0.82012028430836525</v>
      </c>
      <c r="N8" s="11">
        <f>F8/F9</f>
        <v>0.40008912655971479</v>
      </c>
      <c r="O8" s="11">
        <f>G8/G9</f>
        <v>7.9985601151907837E-2</v>
      </c>
      <c r="P8" s="4"/>
      <c r="Q8" s="4"/>
    </row>
    <row r="9" spans="1:17" x14ac:dyDescent="0.2">
      <c r="A9" s="72"/>
      <c r="B9" s="72"/>
      <c r="C9" s="72"/>
      <c r="D9" s="5" t="s">
        <v>11</v>
      </c>
      <c r="E9" s="8">
        <v>54.87</v>
      </c>
      <c r="F9" s="8">
        <v>112.2</v>
      </c>
      <c r="G9" s="8">
        <v>555.6</v>
      </c>
      <c r="H9" s="4"/>
      <c r="K9" s="72"/>
      <c r="L9" s="10" t="s">
        <v>15</v>
      </c>
      <c r="M9" s="11">
        <f>E10/E11</f>
        <v>0.81918699186991872</v>
      </c>
      <c r="N9" s="11">
        <f>F10/F11</f>
        <v>0.40007961783439494</v>
      </c>
      <c r="O9" s="11">
        <f>G10/G11</f>
        <v>7.9996752719597344E-2</v>
      </c>
      <c r="P9" s="4"/>
      <c r="Q9" s="4"/>
    </row>
    <row r="10" spans="1:17" ht="12.75" customHeight="1" x14ac:dyDescent="0.2">
      <c r="A10" s="72"/>
      <c r="B10" s="72"/>
      <c r="C10" s="72" t="s">
        <v>19</v>
      </c>
      <c r="D10" s="5" t="s">
        <v>10</v>
      </c>
      <c r="E10" s="9">
        <v>50.38</v>
      </c>
      <c r="F10" s="9">
        <v>50.25</v>
      </c>
      <c r="G10" s="9">
        <v>49.27</v>
      </c>
      <c r="H10" s="4"/>
      <c r="I10" s="4"/>
      <c r="J10" s="4"/>
      <c r="K10" s="4"/>
      <c r="L10" s="4"/>
      <c r="M10" s="4"/>
      <c r="N10" s="4"/>
      <c r="O10" s="4"/>
      <c r="P10" s="4"/>
      <c r="Q10" s="4"/>
    </row>
    <row r="11" spans="1:17" x14ac:dyDescent="0.2">
      <c r="A11" s="72"/>
      <c r="B11" s="72"/>
      <c r="C11" s="72"/>
      <c r="D11" s="5" t="s">
        <v>11</v>
      </c>
      <c r="E11" s="8">
        <v>61.5</v>
      </c>
      <c r="F11" s="8">
        <v>125.6</v>
      </c>
      <c r="G11" s="8">
        <v>615.9</v>
      </c>
      <c r="H11" s="4"/>
      <c r="I11" s="12"/>
      <c r="J11" s="4"/>
      <c r="K11" s="4"/>
      <c r="L11" s="4"/>
      <c r="M11" s="4"/>
      <c r="N11" s="4"/>
      <c r="O11" s="4"/>
      <c r="P11" s="4"/>
      <c r="Q11" s="4"/>
    </row>
    <row r="12" spans="1:17" x14ac:dyDescent="0.2">
      <c r="A12" s="4"/>
      <c r="B12" s="4"/>
      <c r="C12" s="4"/>
      <c r="D12" s="4"/>
      <c r="E12" s="4"/>
      <c r="F12" s="4"/>
      <c r="G12" s="4"/>
      <c r="H12" s="4"/>
      <c r="I12" s="4"/>
      <c r="J12" s="4"/>
      <c r="P12" s="4"/>
      <c r="Q12" s="4"/>
    </row>
    <row r="13" spans="1:17" ht="12.75" customHeight="1" x14ac:dyDescent="0.2">
      <c r="A13" s="73" t="s">
        <v>20</v>
      </c>
      <c r="B13" s="73"/>
      <c r="C13" s="73"/>
      <c r="D13" s="73"/>
      <c r="E13" s="73"/>
      <c r="F13" s="73"/>
      <c r="G13" s="4"/>
      <c r="H13" s="4"/>
      <c r="I13" s="4"/>
      <c r="J13" s="4"/>
      <c r="P13" s="4"/>
      <c r="Q13" s="4"/>
    </row>
    <row r="14" spans="1:17" ht="12.75" customHeight="1" x14ac:dyDescent="0.2">
      <c r="A14" s="72" t="s">
        <v>21</v>
      </c>
      <c r="B14" s="72"/>
      <c r="C14" s="5" t="s">
        <v>4</v>
      </c>
      <c r="D14" s="5" t="s">
        <v>5</v>
      </c>
      <c r="E14" s="5" t="s">
        <v>6</v>
      </c>
      <c r="F14" s="5" t="s">
        <v>7</v>
      </c>
      <c r="G14" s="4"/>
      <c r="H14" s="4"/>
      <c r="K14" s="72" t="s">
        <v>20</v>
      </c>
      <c r="L14" s="72"/>
      <c r="M14" s="72"/>
      <c r="N14" s="72"/>
      <c r="O14" s="72"/>
      <c r="P14" s="4"/>
      <c r="Q14" s="4"/>
    </row>
    <row r="15" spans="1:17" ht="12.75" customHeight="1" x14ac:dyDescent="0.2">
      <c r="A15" s="72" t="s">
        <v>22</v>
      </c>
      <c r="B15" s="72"/>
      <c r="C15" s="5" t="s">
        <v>10</v>
      </c>
      <c r="D15" s="13">
        <v>41.33</v>
      </c>
      <c r="E15" s="13">
        <v>20.190000000000001</v>
      </c>
      <c r="F15" s="13">
        <v>4.04</v>
      </c>
      <c r="G15" s="4"/>
      <c r="H15" s="4"/>
      <c r="K15" s="72" t="s">
        <v>23</v>
      </c>
      <c r="L15" s="72"/>
      <c r="M15" s="5" t="s">
        <v>5</v>
      </c>
      <c r="N15" s="5" t="s">
        <v>6</v>
      </c>
      <c r="O15" s="5" t="s">
        <v>7</v>
      </c>
      <c r="P15" s="4"/>
      <c r="Q15" s="4"/>
    </row>
    <row r="16" spans="1:17" ht="12.75" customHeight="1" x14ac:dyDescent="0.2">
      <c r="A16" s="72"/>
      <c r="B16" s="72"/>
      <c r="C16" s="5" t="s">
        <v>11</v>
      </c>
      <c r="D16" s="14">
        <v>50.46</v>
      </c>
      <c r="E16" s="14">
        <v>50.48</v>
      </c>
      <c r="F16" s="14">
        <v>50.5</v>
      </c>
      <c r="G16" s="4"/>
      <c r="H16" s="4"/>
      <c r="K16" s="72" t="s">
        <v>22</v>
      </c>
      <c r="L16" s="72"/>
      <c r="M16" s="15">
        <f>D15/D16</f>
        <v>0.81906460562822037</v>
      </c>
      <c r="N16" s="15">
        <f>E15/E16</f>
        <v>0.399960380348653</v>
      </c>
      <c r="O16" s="15">
        <f>F15/F16</f>
        <v>0.08</v>
      </c>
      <c r="P16" s="4"/>
      <c r="Q16" s="4"/>
    </row>
    <row r="17" spans="1:17" ht="12.75" customHeight="1" x14ac:dyDescent="0.2">
      <c r="A17" s="72" t="s">
        <v>24</v>
      </c>
      <c r="B17" s="72"/>
      <c r="C17" s="5" t="s">
        <v>10</v>
      </c>
      <c r="D17" s="13">
        <v>36.83</v>
      </c>
      <c r="E17" s="13">
        <v>17.989999999999998</v>
      </c>
      <c r="F17" s="13">
        <v>3.6</v>
      </c>
      <c r="G17" s="4"/>
      <c r="H17" s="4"/>
      <c r="K17" s="72" t="s">
        <v>24</v>
      </c>
      <c r="L17" s="72"/>
      <c r="M17" s="15">
        <f>D17/D18</f>
        <v>0.8189904380698243</v>
      </c>
      <c r="N17" s="15">
        <f>E17/E18</f>
        <v>0.39995553579368609</v>
      </c>
      <c r="O17" s="15">
        <f>F17/F18</f>
        <v>0.08</v>
      </c>
      <c r="P17" s="4"/>
      <c r="Q17" s="4"/>
    </row>
    <row r="18" spans="1:17" x14ac:dyDescent="0.2">
      <c r="A18" s="72"/>
      <c r="B18" s="72"/>
      <c r="C18" s="5" t="s">
        <v>11</v>
      </c>
      <c r="D18" s="14">
        <v>44.97</v>
      </c>
      <c r="E18" s="14">
        <v>44.98</v>
      </c>
      <c r="F18" s="14">
        <v>45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</row>
    <row r="19" spans="1:17" x14ac:dyDescent="0.2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</row>
    <row r="20" spans="1:17" ht="12.75" customHeight="1" x14ac:dyDescent="0.2">
      <c r="A20" s="74" t="s">
        <v>25</v>
      </c>
      <c r="B20" s="74"/>
      <c r="C20" s="74"/>
      <c r="D20" s="74"/>
      <c r="E20" s="74"/>
      <c r="F20" s="74"/>
      <c r="G20" s="74"/>
      <c r="H20" s="74"/>
      <c r="I20" s="74"/>
      <c r="J20" s="4"/>
      <c r="K20" s="4"/>
      <c r="L20" s="4"/>
      <c r="M20" s="4"/>
      <c r="N20" s="4"/>
      <c r="O20" s="4"/>
      <c r="P20" s="4"/>
      <c r="Q20" s="4"/>
    </row>
    <row r="21" spans="1:17" ht="12.75" customHeight="1" x14ac:dyDescent="0.2">
      <c r="A21" s="72" t="s">
        <v>26</v>
      </c>
      <c r="B21" s="72"/>
      <c r="C21" s="5" t="s">
        <v>27</v>
      </c>
      <c r="D21" s="5" t="s">
        <v>5</v>
      </c>
      <c r="E21" s="5" t="s">
        <v>28</v>
      </c>
      <c r="F21" s="5" t="s">
        <v>29</v>
      </c>
      <c r="G21" s="5" t="s">
        <v>30</v>
      </c>
      <c r="H21" s="5" t="s">
        <v>31</v>
      </c>
      <c r="I21" s="5" t="s">
        <v>7</v>
      </c>
      <c r="J21" s="4"/>
      <c r="K21" s="72" t="s">
        <v>25</v>
      </c>
      <c r="L21" s="72"/>
      <c r="M21" s="72"/>
      <c r="N21" s="72"/>
      <c r="O21" s="72"/>
      <c r="P21" s="72"/>
      <c r="Q21" s="72"/>
    </row>
    <row r="22" spans="1:17" ht="12.75" customHeight="1" x14ac:dyDescent="0.2">
      <c r="A22" s="72" t="s">
        <v>32</v>
      </c>
      <c r="B22" s="72"/>
      <c r="C22" s="5" t="s">
        <v>10</v>
      </c>
      <c r="D22" s="13">
        <v>7.5469999999999997</v>
      </c>
      <c r="E22" s="13">
        <v>5.4050000000000002</v>
      </c>
      <c r="F22" s="13">
        <v>5.8819999999999997</v>
      </c>
      <c r="G22" s="13">
        <v>6.452</v>
      </c>
      <c r="H22" s="13">
        <v>7.1429999999999998</v>
      </c>
      <c r="I22" s="13">
        <v>7.5469999999999997</v>
      </c>
      <c r="J22" s="4"/>
      <c r="K22" s="5" t="s">
        <v>26</v>
      </c>
      <c r="L22" s="5" t="s">
        <v>5</v>
      </c>
      <c r="M22" s="5" t="s">
        <v>28</v>
      </c>
      <c r="N22" s="5" t="s">
        <v>29</v>
      </c>
      <c r="O22" s="5" t="s">
        <v>30</v>
      </c>
      <c r="P22" s="5" t="s">
        <v>31</v>
      </c>
      <c r="Q22" s="5" t="s">
        <v>7</v>
      </c>
    </row>
    <row r="23" spans="1:17" x14ac:dyDescent="0.2">
      <c r="A23" s="72"/>
      <c r="B23" s="72"/>
      <c r="C23" s="5" t="s">
        <v>11</v>
      </c>
      <c r="D23" s="14">
        <v>4.5279999999999996</v>
      </c>
      <c r="E23" s="14">
        <v>3.2429999999999999</v>
      </c>
      <c r="F23" s="14">
        <v>3.5289999999999999</v>
      </c>
      <c r="G23" s="14">
        <v>3.871</v>
      </c>
      <c r="H23" s="14">
        <v>4.2859999999999996</v>
      </c>
      <c r="I23" s="14">
        <v>4.5279999999999996</v>
      </c>
      <c r="J23" s="4"/>
      <c r="K23" s="5" t="s">
        <v>32</v>
      </c>
      <c r="L23" s="15">
        <f t="shared" ref="L23:Q23" si="0">D22/D23</f>
        <v>1.6667402826855124</v>
      </c>
      <c r="M23" s="15">
        <f t="shared" si="0"/>
        <v>1.6666666666666667</v>
      </c>
      <c r="N23" s="15">
        <f t="shared" si="0"/>
        <v>1.6667611221309153</v>
      </c>
      <c r="O23" s="15">
        <f t="shared" si="0"/>
        <v>1.6667527770601911</v>
      </c>
      <c r="P23" s="15">
        <f t="shared" si="0"/>
        <v>1.6665888940737286</v>
      </c>
      <c r="Q23" s="15">
        <f t="shared" si="0"/>
        <v>1.6667402826855124</v>
      </c>
    </row>
    <row r="24" spans="1:17" ht="12.75" customHeight="1" x14ac:dyDescent="0.2">
      <c r="A24" s="72" t="s">
        <v>33</v>
      </c>
      <c r="B24" s="72"/>
      <c r="C24" s="5" t="s">
        <v>10</v>
      </c>
      <c r="D24" s="13">
        <v>3.6360000000000001</v>
      </c>
      <c r="E24" s="13">
        <v>4.0819999999999999</v>
      </c>
      <c r="F24" s="13">
        <v>4.6509999999999998</v>
      </c>
      <c r="G24" s="13">
        <v>5.4050000000000002</v>
      </c>
      <c r="H24" s="13">
        <v>6.452</v>
      </c>
      <c r="I24" s="13">
        <v>7.1429999999999998</v>
      </c>
      <c r="J24" s="4"/>
      <c r="K24" s="5" t="s">
        <v>34</v>
      </c>
      <c r="L24" s="15">
        <f t="shared" ref="L24:Q24" si="1">D24/D25</f>
        <v>0.8331805682859762</v>
      </c>
      <c r="M24" s="15">
        <f t="shared" si="1"/>
        <v>0.83340138832176403</v>
      </c>
      <c r="N24" s="15">
        <f t="shared" si="1"/>
        <v>0.83336319655975621</v>
      </c>
      <c r="O24" s="15">
        <f t="shared" si="1"/>
        <v>0.83333333333333337</v>
      </c>
      <c r="P24" s="15">
        <f t="shared" si="1"/>
        <v>0.83337638853009555</v>
      </c>
      <c r="Q24" s="15">
        <f t="shared" si="1"/>
        <v>0.83339166958347921</v>
      </c>
    </row>
    <row r="25" spans="1:17" x14ac:dyDescent="0.2">
      <c r="A25" s="72"/>
      <c r="B25" s="72"/>
      <c r="C25" s="5" t="s">
        <v>11</v>
      </c>
      <c r="D25" s="14">
        <v>4.3639999999999999</v>
      </c>
      <c r="E25" s="14">
        <v>4.8979999999999997</v>
      </c>
      <c r="F25" s="14">
        <v>5.5810000000000004</v>
      </c>
      <c r="G25" s="14">
        <v>6.4859999999999998</v>
      </c>
      <c r="H25" s="14">
        <v>7.742</v>
      </c>
      <c r="I25" s="14">
        <v>8.5709999999999997</v>
      </c>
      <c r="J25" s="4"/>
      <c r="K25" s="5" t="s">
        <v>35</v>
      </c>
      <c r="L25" s="15">
        <f t="shared" ref="L25:Q25" si="2">D26/D27</f>
        <v>0.8331805682859762</v>
      </c>
      <c r="M25" s="15">
        <f t="shared" si="2"/>
        <v>0.83340138832176403</v>
      </c>
      <c r="N25" s="15">
        <f t="shared" si="2"/>
        <v>0.83336319655975621</v>
      </c>
      <c r="O25" s="15">
        <f t="shared" si="2"/>
        <v>0.83333333333333337</v>
      </c>
      <c r="P25" s="15">
        <f t="shared" si="2"/>
        <v>0.83337638853009555</v>
      </c>
      <c r="Q25" s="15">
        <f t="shared" si="2"/>
        <v>0.83339166958347921</v>
      </c>
    </row>
    <row r="26" spans="1:17" ht="12.75" customHeight="1" x14ac:dyDescent="0.2">
      <c r="A26" s="72" t="s">
        <v>36</v>
      </c>
      <c r="B26" s="72"/>
      <c r="C26" s="5" t="s">
        <v>10</v>
      </c>
      <c r="D26" s="13">
        <v>3.6360000000000001</v>
      </c>
      <c r="E26" s="13">
        <v>4.0819999999999999</v>
      </c>
      <c r="F26" s="13">
        <v>4.6509999999999998</v>
      </c>
      <c r="G26" s="13">
        <v>5.4050000000000002</v>
      </c>
      <c r="H26" s="13">
        <v>6.452</v>
      </c>
      <c r="I26" s="13">
        <v>7.1429999999999998</v>
      </c>
      <c r="J26" s="4"/>
      <c r="K26" s="4"/>
      <c r="L26" s="4"/>
      <c r="M26" s="4"/>
      <c r="N26" s="4"/>
      <c r="O26" s="4"/>
      <c r="P26" s="4"/>
      <c r="Q26" s="4"/>
    </row>
    <row r="27" spans="1:17" x14ac:dyDescent="0.2">
      <c r="A27" s="72"/>
      <c r="B27" s="72"/>
      <c r="C27" s="5" t="s">
        <v>11</v>
      </c>
      <c r="D27" s="14">
        <v>4.3639999999999999</v>
      </c>
      <c r="E27" s="14">
        <v>4.8979999999999997</v>
      </c>
      <c r="F27" s="14">
        <v>5.5810000000000004</v>
      </c>
      <c r="G27" s="14">
        <v>6.4859999999999998</v>
      </c>
      <c r="H27" s="14">
        <v>7.742</v>
      </c>
      <c r="I27" s="14">
        <v>8.5709999999999997</v>
      </c>
      <c r="J27" s="4"/>
      <c r="K27" s="4"/>
      <c r="L27" s="4"/>
      <c r="M27" s="4"/>
      <c r="N27" s="4"/>
      <c r="O27" s="4"/>
      <c r="P27" s="4"/>
      <c r="Q27" s="4"/>
    </row>
  </sheetData>
  <mergeCells count="27">
    <mergeCell ref="A22:B23"/>
    <mergeCell ref="A24:B25"/>
    <mergeCell ref="A26:B27"/>
    <mergeCell ref="A17:B18"/>
    <mergeCell ref="K17:L17"/>
    <mergeCell ref="A20:I20"/>
    <mergeCell ref="A21:B21"/>
    <mergeCell ref="K21:Q21"/>
    <mergeCell ref="A14:B14"/>
    <mergeCell ref="K14:O14"/>
    <mergeCell ref="A15:B16"/>
    <mergeCell ref="K15:L15"/>
    <mergeCell ref="K16:L16"/>
    <mergeCell ref="A8:B11"/>
    <mergeCell ref="C8:C9"/>
    <mergeCell ref="K8:K9"/>
    <mergeCell ref="C10:C11"/>
    <mergeCell ref="A13:F13"/>
    <mergeCell ref="L1:N2"/>
    <mergeCell ref="A2:G2"/>
    <mergeCell ref="A3:C3"/>
    <mergeCell ref="A4:B7"/>
    <mergeCell ref="C4:C5"/>
    <mergeCell ref="K4:O4"/>
    <mergeCell ref="K5:L5"/>
    <mergeCell ref="C6:C7"/>
    <mergeCell ref="K6:K7"/>
  </mergeCell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&amp;CСтраница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7"/>
  <sheetViews>
    <sheetView zoomScale="210" zoomScaleNormal="210" workbookViewId="0">
      <selection activeCell="H8" sqref="H8"/>
    </sheetView>
  </sheetViews>
  <sheetFormatPr defaultColWidth="11.5703125" defaultRowHeight="12.75" customHeight="1" x14ac:dyDescent="0.2"/>
  <cols>
    <col min="7" max="7" width="7.42578125" style="1" customWidth="1"/>
    <col min="10" max="10" width="8.7109375" style="1" customWidth="1"/>
    <col min="13" max="13" width="14.85546875" style="1" customWidth="1"/>
  </cols>
  <sheetData>
    <row r="1" spans="1:19" x14ac:dyDescent="0.2">
      <c r="A1" s="1" t="s">
        <v>37</v>
      </c>
    </row>
    <row r="2" spans="1:19" x14ac:dyDescent="0.2">
      <c r="A2" s="75" t="s">
        <v>38</v>
      </c>
      <c r="B2" s="75"/>
      <c r="C2" s="75"/>
      <c r="D2" s="75"/>
      <c r="E2" s="75"/>
      <c r="F2" s="75"/>
      <c r="I2" s="17" t="s">
        <v>39</v>
      </c>
      <c r="J2" s="5" t="s">
        <v>40</v>
      </c>
      <c r="K2" s="5" t="s">
        <v>41</v>
      </c>
      <c r="L2" s="5" t="s">
        <v>42</v>
      </c>
    </row>
    <row r="3" spans="1:19" ht="12.75" customHeight="1" x14ac:dyDescent="0.2">
      <c r="A3" s="72" t="s">
        <v>43</v>
      </c>
      <c r="B3" s="72" t="s">
        <v>44</v>
      </c>
      <c r="C3" s="72"/>
      <c r="D3" s="72"/>
      <c r="E3" s="72"/>
      <c r="F3" s="72"/>
      <c r="I3" s="5" t="s">
        <v>45</v>
      </c>
      <c r="J3" s="8">
        <v>240</v>
      </c>
      <c r="K3" s="8">
        <v>100</v>
      </c>
      <c r="L3" s="8">
        <v>30</v>
      </c>
    </row>
    <row r="4" spans="1:19" x14ac:dyDescent="0.2">
      <c r="A4" s="72"/>
      <c r="B4" s="5" t="s">
        <v>46</v>
      </c>
      <c r="C4" s="5" t="s">
        <v>47</v>
      </c>
      <c r="D4" s="5" t="s">
        <v>48</v>
      </c>
      <c r="E4" s="5" t="s">
        <v>49</v>
      </c>
      <c r="F4" s="5" t="s">
        <v>50</v>
      </c>
    </row>
    <row r="5" spans="1:19" x14ac:dyDescent="0.2">
      <c r="A5" s="72"/>
      <c r="B5" s="5" t="s">
        <v>51</v>
      </c>
      <c r="C5" s="5" t="s">
        <v>51</v>
      </c>
      <c r="D5" s="5" t="s">
        <v>52</v>
      </c>
      <c r="E5" s="5" t="s">
        <v>52</v>
      </c>
      <c r="F5" s="5" t="s">
        <v>52</v>
      </c>
      <c r="I5" s="16" t="s">
        <v>53</v>
      </c>
      <c r="J5" s="16" t="s">
        <v>54</v>
      </c>
      <c r="M5" s="1" t="s">
        <v>55</v>
      </c>
    </row>
    <row r="6" spans="1:19" x14ac:dyDescent="0.2">
      <c r="A6" s="5">
        <v>1</v>
      </c>
      <c r="B6" s="8">
        <v>8</v>
      </c>
      <c r="C6" s="8">
        <v>0</v>
      </c>
      <c r="D6" s="8">
        <v>30.41</v>
      </c>
      <c r="E6" s="8">
        <v>7.0179999999999998</v>
      </c>
      <c r="F6" s="8">
        <v>23.29</v>
      </c>
      <c r="I6" s="16" t="s">
        <v>56</v>
      </c>
      <c r="J6" s="18">
        <v>1E-3</v>
      </c>
      <c r="M6" s="19">
        <f>J6*F8</f>
        <v>0.12869999999999998</v>
      </c>
      <c r="N6" s="20" t="s">
        <v>57</v>
      </c>
      <c r="O6" s="20">
        <f>E8*J6</f>
        <v>0.11140000000000001</v>
      </c>
      <c r="P6" s="21" t="s">
        <v>58</v>
      </c>
    </row>
    <row r="7" spans="1:19" x14ac:dyDescent="0.2">
      <c r="A7" s="5">
        <v>2</v>
      </c>
      <c r="B7" s="8">
        <v>0</v>
      </c>
      <c r="C7" s="8">
        <v>15</v>
      </c>
      <c r="D7" s="8">
        <v>13.16</v>
      </c>
      <c r="E7" s="8">
        <v>118.4</v>
      </c>
      <c r="F7" s="8">
        <v>105.3</v>
      </c>
      <c r="M7" s="22">
        <f>J6*F9</f>
        <v>0.14910000000000001</v>
      </c>
      <c r="N7" s="23" t="s">
        <v>57</v>
      </c>
      <c r="O7" s="23">
        <f>E9*J6</f>
        <v>0.1053</v>
      </c>
      <c r="P7" s="24" t="s">
        <v>58</v>
      </c>
    </row>
    <row r="8" spans="1:19" x14ac:dyDescent="0.2">
      <c r="A8" s="5">
        <v>3</v>
      </c>
      <c r="B8" s="8">
        <v>8</v>
      </c>
      <c r="C8" s="8">
        <v>15</v>
      </c>
      <c r="D8" s="8">
        <v>17.25</v>
      </c>
      <c r="E8" s="8">
        <v>111.4</v>
      </c>
      <c r="F8" s="8">
        <v>128.69999999999999</v>
      </c>
      <c r="I8" s="17" t="s">
        <v>59</v>
      </c>
      <c r="J8" s="25">
        <f>AVERAGE(B17,B19)</f>
        <v>7.9990499999999995</v>
      </c>
    </row>
    <row r="9" spans="1:19" x14ac:dyDescent="0.2">
      <c r="A9" s="5">
        <v>4</v>
      </c>
      <c r="B9" s="8">
        <v>15</v>
      </c>
      <c r="C9" s="8">
        <v>15</v>
      </c>
      <c r="D9" s="8">
        <v>43.86</v>
      </c>
      <c r="E9" s="8">
        <v>105.3</v>
      </c>
      <c r="F9" s="8">
        <v>149.1</v>
      </c>
      <c r="I9" s="17" t="s">
        <v>60</v>
      </c>
      <c r="J9" s="25">
        <f>AVERAGE(D19,B18)</f>
        <v>15</v>
      </c>
      <c r="M9" s="26" t="s">
        <v>61</v>
      </c>
      <c r="N9" s="27" t="s">
        <v>57</v>
      </c>
      <c r="O9" s="20">
        <f>M6</f>
        <v>0.12869999999999998</v>
      </c>
      <c r="P9" s="20">
        <f>O6*-1</f>
        <v>-0.11140000000000001</v>
      </c>
      <c r="Q9" s="21" t="s">
        <v>62</v>
      </c>
    </row>
    <row r="10" spans="1:19" x14ac:dyDescent="0.2">
      <c r="A10" s="5">
        <v>5</v>
      </c>
      <c r="B10" s="8">
        <v>15</v>
      </c>
      <c r="C10" s="8">
        <v>0</v>
      </c>
      <c r="D10" s="8">
        <v>57.02</v>
      </c>
      <c r="E10" s="8">
        <v>13.16</v>
      </c>
      <c r="F10" s="8">
        <v>43.86</v>
      </c>
      <c r="I10" s="17" t="s">
        <v>63</v>
      </c>
      <c r="J10" s="25">
        <f>K3/L3*-1</f>
        <v>-3.3333333333333335</v>
      </c>
      <c r="M10" s="28" t="s">
        <v>61</v>
      </c>
      <c r="N10" s="29" t="s">
        <v>57</v>
      </c>
      <c r="O10" s="23">
        <f>M7</f>
        <v>0.14910000000000001</v>
      </c>
      <c r="P10" s="23">
        <f>O7*-1</f>
        <v>-0.1053</v>
      </c>
      <c r="Q10" s="24" t="s">
        <v>62</v>
      </c>
    </row>
    <row r="11" spans="1:19" x14ac:dyDescent="0.2">
      <c r="I11" s="17" t="s">
        <v>61</v>
      </c>
      <c r="J11" s="25">
        <f>J9/L3</f>
        <v>0.5</v>
      </c>
      <c r="N11" s="30"/>
    </row>
    <row r="12" spans="1:19" ht="12.75" customHeight="1" x14ac:dyDescent="0.2">
      <c r="A12" s="72" t="s">
        <v>64</v>
      </c>
      <c r="B12" s="72"/>
      <c r="C12" s="72"/>
      <c r="D12" s="72"/>
      <c r="E12" s="72"/>
      <c r="F12" s="72"/>
      <c r="G12" s="5"/>
      <c r="I12" s="6"/>
      <c r="J12" s="6"/>
      <c r="M12" s="31">
        <f>O10</f>
        <v>0.14910000000000001</v>
      </c>
      <c r="N12" s="32">
        <f>O7*-1</f>
        <v>-0.1053</v>
      </c>
      <c r="O12" s="32" t="s">
        <v>62</v>
      </c>
      <c r="P12" s="32" t="s">
        <v>57</v>
      </c>
      <c r="Q12" s="33">
        <f>M6</f>
        <v>0.12869999999999998</v>
      </c>
      <c r="R12" s="33">
        <f>O6*-1</f>
        <v>-0.11140000000000001</v>
      </c>
      <c r="S12" s="34" t="s">
        <v>62</v>
      </c>
    </row>
    <row r="13" spans="1:19" ht="12.75" customHeight="1" x14ac:dyDescent="0.2">
      <c r="A13" s="72" t="s">
        <v>43</v>
      </c>
      <c r="B13" s="72" t="s">
        <v>65</v>
      </c>
      <c r="C13" s="72"/>
      <c r="D13" s="72"/>
      <c r="E13" s="72"/>
      <c r="F13" s="72"/>
      <c r="G13" s="72"/>
      <c r="I13" s="76" t="s">
        <v>66</v>
      </c>
      <c r="J13" s="76"/>
      <c r="M13" s="35">
        <f>O10-Q12</f>
        <v>2.0400000000000029E-2</v>
      </c>
      <c r="N13" s="32" t="s">
        <v>57</v>
      </c>
      <c r="O13" s="32" t="s">
        <v>67</v>
      </c>
      <c r="P13" s="36">
        <f>R12+(-1*N12)</f>
        <v>-6.1000000000000082E-3</v>
      </c>
    </row>
    <row r="14" spans="1:19" x14ac:dyDescent="0.2">
      <c r="A14" s="72"/>
      <c r="B14" s="72"/>
      <c r="C14" s="72"/>
      <c r="D14" s="72"/>
      <c r="E14" s="72"/>
      <c r="F14" s="72"/>
      <c r="G14" s="72"/>
      <c r="I14" s="37" t="s">
        <v>68</v>
      </c>
      <c r="J14" s="37">
        <f>-1*K3/L3</f>
        <v>-3.3333333333333335</v>
      </c>
      <c r="M14" s="38" t="s">
        <v>63</v>
      </c>
      <c r="N14" s="32" t="s">
        <v>57</v>
      </c>
      <c r="O14" s="36">
        <f>M13/P13</f>
        <v>-3.3442622950819674</v>
      </c>
    </row>
    <row r="15" spans="1:19" x14ac:dyDescent="0.2">
      <c r="A15" s="72"/>
      <c r="B15" s="72"/>
      <c r="C15" s="72"/>
      <c r="D15" s="72"/>
      <c r="E15" s="72"/>
      <c r="F15" s="72"/>
      <c r="G15" s="72"/>
      <c r="I15" s="18" t="s">
        <v>69</v>
      </c>
      <c r="J15" s="18">
        <f>J9/L3</f>
        <v>0.5</v>
      </c>
      <c r="M15" s="39" t="s">
        <v>61</v>
      </c>
      <c r="N15" s="40" t="s">
        <v>57</v>
      </c>
      <c r="O15" s="41">
        <f>O9+(P9*O14)</f>
        <v>0.50125081967213125</v>
      </c>
    </row>
    <row r="16" spans="1:19" ht="12.75" customHeight="1" x14ac:dyDescent="0.2">
      <c r="A16" s="72"/>
      <c r="B16" s="72" t="s">
        <v>51</v>
      </c>
      <c r="C16" s="72"/>
      <c r="D16" s="72" t="s">
        <v>51</v>
      </c>
      <c r="E16" s="72"/>
      <c r="F16" s="72" t="s">
        <v>52</v>
      </c>
      <c r="G16" s="72"/>
      <c r="M16" s="42" t="s">
        <v>61</v>
      </c>
      <c r="N16" s="43" t="s">
        <v>57</v>
      </c>
      <c r="O16" s="44">
        <f>O10+(P10*O14)</f>
        <v>0.50125081967213125</v>
      </c>
    </row>
    <row r="17" spans="1:8" x14ac:dyDescent="0.2">
      <c r="A17" s="5">
        <v>1</v>
      </c>
      <c r="B17" s="76">
        <f>D6*J6*J3+F6*J6*L3</f>
        <v>7.9970999999999997</v>
      </c>
      <c r="C17" s="76"/>
      <c r="D17" s="76">
        <f>E6*J6*K3-F6*J6*L3</f>
        <v>3.0999999999999917E-3</v>
      </c>
      <c r="E17" s="76"/>
      <c r="F17" s="76">
        <f>D6-E6-F6</f>
        <v>0.10200000000000031</v>
      </c>
      <c r="G17" s="76"/>
    </row>
    <row r="18" spans="1:8" x14ac:dyDescent="0.2">
      <c r="A18" s="5">
        <v>2</v>
      </c>
      <c r="B18" s="76">
        <f>E7*J6*K3+F7*J6*L3</f>
        <v>14.999000000000001</v>
      </c>
      <c r="C18" s="76"/>
      <c r="D18" s="76">
        <f>D7*J6*J3-F7*J6*L3</f>
        <v>-6.0000000000037801E-4</v>
      </c>
      <c r="E18" s="76"/>
      <c r="F18" s="76">
        <f>E7-D7-F7</f>
        <v>-5.9999999999988063E-2</v>
      </c>
      <c r="G18" s="76"/>
    </row>
    <row r="19" spans="1:8" x14ac:dyDescent="0.2">
      <c r="A19" s="5">
        <v>3</v>
      </c>
      <c r="B19" s="76">
        <f>D8*J6*J3+F8*J6*L3</f>
        <v>8.0009999999999994</v>
      </c>
      <c r="C19" s="76"/>
      <c r="D19" s="76">
        <f>E8*J6*K3+F8*J6*L3</f>
        <v>15.000999999999999</v>
      </c>
      <c r="E19" s="76"/>
      <c r="F19" s="76">
        <f>E8+D8-F8</f>
        <v>-4.9999999999982947E-2</v>
      </c>
      <c r="G19" s="76"/>
    </row>
    <row r="20" spans="1:8" ht="12.75" customHeight="1" x14ac:dyDescent="0.2">
      <c r="A20" s="72"/>
      <c r="B20" s="72" t="s">
        <v>70</v>
      </c>
      <c r="C20" s="72"/>
      <c r="D20" s="72"/>
      <c r="E20" s="72"/>
      <c r="F20" s="72" t="s">
        <v>71</v>
      </c>
      <c r="G20" s="72"/>
    </row>
    <row r="21" spans="1:8" x14ac:dyDescent="0.2">
      <c r="A21" s="72"/>
      <c r="B21" s="72"/>
      <c r="C21" s="72"/>
      <c r="D21" s="72"/>
      <c r="E21" s="72"/>
      <c r="F21" s="72"/>
      <c r="G21" s="72"/>
    </row>
    <row r="23" spans="1:8" ht="12.75" customHeight="1" x14ac:dyDescent="0.2">
      <c r="A23" s="72" t="s">
        <v>72</v>
      </c>
      <c r="B23" s="72"/>
      <c r="C23" s="72"/>
      <c r="D23" s="72"/>
      <c r="E23" s="72"/>
      <c r="F23" s="72"/>
    </row>
    <row r="24" spans="1:8" ht="12.75" customHeight="1" x14ac:dyDescent="0.2">
      <c r="A24" s="72" t="s">
        <v>43</v>
      </c>
      <c r="B24" s="72" t="s">
        <v>73</v>
      </c>
      <c r="C24" s="72"/>
      <c r="D24" s="72" t="s">
        <v>74</v>
      </c>
      <c r="E24" s="72"/>
      <c r="F24" s="72"/>
    </row>
    <row r="25" spans="1:8" x14ac:dyDescent="0.2">
      <c r="A25" s="72"/>
      <c r="B25" s="72"/>
      <c r="C25" s="72"/>
      <c r="D25" s="72"/>
      <c r="E25" s="72"/>
      <c r="F25" s="72"/>
    </row>
    <row r="26" spans="1:8" ht="12.75" customHeight="1" x14ac:dyDescent="0.2">
      <c r="A26" s="5">
        <v>3</v>
      </c>
      <c r="B26" s="76" t="s">
        <v>75</v>
      </c>
      <c r="C26" s="76"/>
      <c r="D26" s="76" t="s">
        <v>76</v>
      </c>
      <c r="E26" s="76"/>
      <c r="F26" s="76"/>
    </row>
    <row r="27" spans="1:8" ht="12.75" customHeight="1" x14ac:dyDescent="0.2">
      <c r="A27" s="5">
        <v>4</v>
      </c>
      <c r="B27" s="76" t="s">
        <v>77</v>
      </c>
      <c r="C27" s="76"/>
      <c r="D27" s="76"/>
      <c r="E27" s="76"/>
      <c r="F27" s="76"/>
    </row>
    <row r="28" spans="1:8" ht="12.75" customHeight="1" x14ac:dyDescent="0.2">
      <c r="A28" s="72">
        <v>2</v>
      </c>
      <c r="B28" s="72" t="s">
        <v>78</v>
      </c>
      <c r="C28" s="72"/>
      <c r="D28" s="77" t="s">
        <v>79</v>
      </c>
      <c r="E28" s="77"/>
      <c r="F28" s="77"/>
    </row>
    <row r="29" spans="1:8" x14ac:dyDescent="0.2">
      <c r="A29" s="72"/>
      <c r="B29" s="72"/>
      <c r="C29" s="72"/>
      <c r="D29" s="77"/>
      <c r="E29" s="77"/>
      <c r="F29" s="77"/>
    </row>
    <row r="31" spans="1:8" ht="12.75" customHeight="1" x14ac:dyDescent="0.2">
      <c r="A31" s="72" t="s">
        <v>80</v>
      </c>
      <c r="B31" s="72"/>
      <c r="C31" s="72"/>
      <c r="D31" s="72"/>
      <c r="E31" s="72"/>
      <c r="F31" s="72"/>
      <c r="G31" s="72"/>
      <c r="H31" s="72"/>
    </row>
    <row r="32" spans="1:8" ht="12.75" customHeight="1" x14ac:dyDescent="0.2">
      <c r="A32" s="72" t="s">
        <v>43</v>
      </c>
      <c r="B32" s="72" t="s">
        <v>81</v>
      </c>
      <c r="C32" s="72"/>
      <c r="D32" s="72"/>
      <c r="E32" s="72"/>
      <c r="F32" s="72" t="s">
        <v>82</v>
      </c>
      <c r="G32" s="72"/>
      <c r="H32" s="72"/>
    </row>
    <row r="33" spans="1:8" x14ac:dyDescent="0.2">
      <c r="A33" s="72"/>
      <c r="B33" s="72"/>
      <c r="C33" s="72"/>
      <c r="D33" s="72"/>
      <c r="E33" s="72"/>
      <c r="F33" s="72"/>
      <c r="G33" s="72"/>
      <c r="H33" s="72"/>
    </row>
    <row r="34" spans="1:8" ht="12.75" customHeight="1" x14ac:dyDescent="0.2">
      <c r="A34" s="72"/>
      <c r="B34" s="72" t="s">
        <v>83</v>
      </c>
      <c r="C34" s="72"/>
      <c r="D34" s="72" t="s">
        <v>84</v>
      </c>
      <c r="E34" s="72"/>
      <c r="F34" s="72" t="s">
        <v>85</v>
      </c>
      <c r="G34" s="72" t="s">
        <v>86</v>
      </c>
      <c r="H34" s="72" t="s">
        <v>87</v>
      </c>
    </row>
    <row r="35" spans="1:8" x14ac:dyDescent="0.2">
      <c r="A35" s="72"/>
      <c r="B35" s="72"/>
      <c r="C35" s="72"/>
      <c r="D35" s="72"/>
      <c r="E35" s="72"/>
      <c r="F35" s="72"/>
      <c r="G35" s="72"/>
      <c r="H35" s="72"/>
    </row>
    <row r="36" spans="1:8" x14ac:dyDescent="0.2">
      <c r="A36" s="5">
        <v>2</v>
      </c>
      <c r="B36" s="76">
        <f>(J9-D36*K3)/J3</f>
        <v>1.315789473684211E-2</v>
      </c>
      <c r="C36" s="76"/>
      <c r="D36" s="76">
        <f>J9/(K3+((J3*L3)/(J3+L3)))</f>
        <v>0.11842105263157894</v>
      </c>
      <c r="E36" s="76"/>
      <c r="F36" s="76">
        <f>B37-B36</f>
        <v>4.3859649122807008E-2</v>
      </c>
      <c r="G36" s="76">
        <f>D37-D36</f>
        <v>-0.10526315789473684</v>
      </c>
      <c r="H36" s="76">
        <f>F36+G36</f>
        <v>-6.1403508771929828E-2</v>
      </c>
    </row>
    <row r="37" spans="1:8" x14ac:dyDescent="0.2">
      <c r="A37" s="5">
        <v>5</v>
      </c>
      <c r="B37" s="76">
        <f>J9/(J3+((K3*L3)/(K3+L3)))</f>
        <v>5.701754385964912E-2</v>
      </c>
      <c r="C37" s="76"/>
      <c r="D37" s="76">
        <f>(J9-B37*J3)/K3</f>
        <v>1.3157894736842106E-2</v>
      </c>
      <c r="E37" s="76"/>
      <c r="F37" s="76"/>
      <c r="G37" s="76"/>
      <c r="H37" s="76"/>
    </row>
  </sheetData>
  <mergeCells count="51">
    <mergeCell ref="B36:C36"/>
    <mergeCell ref="D36:E36"/>
    <mergeCell ref="F36:F37"/>
    <mergeCell ref="G36:G37"/>
    <mergeCell ref="H36:H37"/>
    <mergeCell ref="B37:C37"/>
    <mergeCell ref="D37:E37"/>
    <mergeCell ref="A28:A29"/>
    <mergeCell ref="B28:C29"/>
    <mergeCell ref="D28:F29"/>
    <mergeCell ref="A31:H31"/>
    <mergeCell ref="A32:A35"/>
    <mergeCell ref="B32:E33"/>
    <mergeCell ref="F32:H33"/>
    <mergeCell ref="B34:C35"/>
    <mergeCell ref="D34:E35"/>
    <mergeCell ref="F34:F35"/>
    <mergeCell ref="G34:G35"/>
    <mergeCell ref="H34:H35"/>
    <mergeCell ref="A23:F23"/>
    <mergeCell ref="A24:A25"/>
    <mergeCell ref="B24:C25"/>
    <mergeCell ref="D24:F25"/>
    <mergeCell ref="B26:C26"/>
    <mergeCell ref="D26:F27"/>
    <mergeCell ref="B27:C27"/>
    <mergeCell ref="B19:C19"/>
    <mergeCell ref="D19:E19"/>
    <mergeCell ref="F19:G19"/>
    <mergeCell ref="A20:A21"/>
    <mergeCell ref="B20:E21"/>
    <mergeCell ref="F20:G21"/>
    <mergeCell ref="B17:C17"/>
    <mergeCell ref="D17:E17"/>
    <mergeCell ref="F17:G17"/>
    <mergeCell ref="B18:C18"/>
    <mergeCell ref="D18:E18"/>
    <mergeCell ref="F18:G18"/>
    <mergeCell ref="I13:J13"/>
    <mergeCell ref="B14:C15"/>
    <mergeCell ref="D14:E15"/>
    <mergeCell ref="F14:G15"/>
    <mergeCell ref="B16:C16"/>
    <mergeCell ref="D16:E16"/>
    <mergeCell ref="F16:G16"/>
    <mergeCell ref="A2:F2"/>
    <mergeCell ref="A3:A5"/>
    <mergeCell ref="B3:F3"/>
    <mergeCell ref="A12:F12"/>
    <mergeCell ref="A13:A16"/>
    <mergeCell ref="B13:G13"/>
  </mergeCells>
  <pageMargins left="0.78749999999999998" right="0.78749999999999998" top="1.0249999999999999" bottom="1.0249999999999999" header="0.78749999999999998" footer="0.78749999999999998"/>
  <pageSetup orientation="portrait" horizontalDpi="300" verticalDpi="300"/>
  <headerFooter>
    <oddHeader>&amp;C&amp;A</oddHeader>
    <oddFooter>&amp;CСтраница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9"/>
  <sheetViews>
    <sheetView zoomScale="210" zoomScaleNormal="210" workbookViewId="0">
      <selection activeCell="E13" sqref="E13"/>
    </sheetView>
  </sheetViews>
  <sheetFormatPr defaultColWidth="11.5703125" defaultRowHeight="12.75" customHeight="1" x14ac:dyDescent="0.2"/>
  <sheetData>
    <row r="1" spans="1:13" x14ac:dyDescent="0.2">
      <c r="A1" s="45" t="s">
        <v>88</v>
      </c>
      <c r="B1" s="45"/>
      <c r="C1" s="45"/>
      <c r="D1" s="45"/>
      <c r="E1" s="45"/>
      <c r="F1" s="45"/>
      <c r="G1" s="45"/>
    </row>
    <row r="2" spans="1:13" ht="23.45" customHeight="1" x14ac:dyDescent="0.2">
      <c r="A2" s="78" t="s">
        <v>89</v>
      </c>
      <c r="B2" s="78"/>
      <c r="C2" s="78"/>
      <c r="D2" s="78"/>
      <c r="E2" s="78"/>
      <c r="F2" s="78"/>
      <c r="G2" s="78"/>
      <c r="I2" t="s">
        <v>39</v>
      </c>
    </row>
    <row r="3" spans="1:13" x14ac:dyDescent="0.2">
      <c r="A3" s="5" t="s">
        <v>4</v>
      </c>
      <c r="B3" s="5">
        <v>100</v>
      </c>
      <c r="C3" s="5">
        <v>80</v>
      </c>
      <c r="D3" s="5">
        <v>60</v>
      </c>
      <c r="E3" s="5">
        <v>40</v>
      </c>
      <c r="F3" s="5">
        <v>20</v>
      </c>
      <c r="G3" s="5">
        <v>10</v>
      </c>
      <c r="I3" s="46" t="s">
        <v>90</v>
      </c>
      <c r="J3" s="46">
        <v>10</v>
      </c>
      <c r="L3" s="47" t="s">
        <v>91</v>
      </c>
      <c r="M3" s="48">
        <f>(B6-G6)/(B5-G5)</f>
        <v>-4.0579272891838851</v>
      </c>
    </row>
    <row r="4" spans="1:13" x14ac:dyDescent="0.2">
      <c r="A4" s="5" t="s">
        <v>92</v>
      </c>
      <c r="B4" s="25">
        <f>159.5/J6</f>
        <v>0.1595</v>
      </c>
      <c r="C4" s="25">
        <f>172/J6</f>
        <v>0.17199999999999999</v>
      </c>
      <c r="D4" s="25">
        <f>196.9/J6</f>
        <v>0.19690000000000002</v>
      </c>
      <c r="E4" s="25">
        <f>253/J6</f>
        <v>0.253</v>
      </c>
      <c r="F4" s="25">
        <f>435.5/J6</f>
        <v>0.4355</v>
      </c>
      <c r="G4" s="25">
        <f>761.5/J6</f>
        <v>0.76149999999999995</v>
      </c>
      <c r="I4" s="46" t="s">
        <v>93</v>
      </c>
      <c r="J4" s="46">
        <v>360</v>
      </c>
    </row>
    <row r="5" spans="1:13" x14ac:dyDescent="0.2">
      <c r="A5" s="5" t="s">
        <v>94</v>
      </c>
      <c r="B5" s="25">
        <f>178.2/J6</f>
        <v>0.1782</v>
      </c>
      <c r="C5" s="25">
        <f>224/J6</f>
        <v>0.224</v>
      </c>
      <c r="D5" s="25">
        <f>296.1/J6</f>
        <v>0.29610000000000003</v>
      </c>
      <c r="E5" s="25">
        <f>433.9/J6</f>
        <v>0.43389999999999995</v>
      </c>
      <c r="F5" s="25">
        <f>834.1/J6</f>
        <v>0.83410000000000006</v>
      </c>
      <c r="G5" s="25">
        <f>1504/J6</f>
        <v>1.504</v>
      </c>
      <c r="I5" s="46" t="s">
        <v>95</v>
      </c>
      <c r="J5" s="46">
        <v>85</v>
      </c>
    </row>
    <row r="6" spans="1:13" x14ac:dyDescent="0.2">
      <c r="A6" s="5" t="s">
        <v>96</v>
      </c>
      <c r="B6" s="25">
        <v>40.549999999999997</v>
      </c>
      <c r="C6" s="25">
        <v>41.21</v>
      </c>
      <c r="D6" s="25">
        <v>40.869999999999997</v>
      </c>
      <c r="E6" s="25">
        <v>39.92</v>
      </c>
      <c r="F6" s="25">
        <v>38.369999999999997</v>
      </c>
      <c r="G6" s="25">
        <v>35.17</v>
      </c>
      <c r="I6" s="68" t="s">
        <v>211</v>
      </c>
      <c r="J6" s="68">
        <v>1000</v>
      </c>
    </row>
    <row r="7" spans="1:13" x14ac:dyDescent="0.2">
      <c r="A7" s="5" t="s">
        <v>97</v>
      </c>
      <c r="B7" s="25">
        <v>1.504</v>
      </c>
      <c r="C7" s="25">
        <v>1.405</v>
      </c>
      <c r="D7" s="25">
        <v>1.165</v>
      </c>
      <c r="E7" s="25">
        <v>0.94099999999999995</v>
      </c>
      <c r="F7" s="25">
        <v>0.497</v>
      </c>
      <c r="G7" s="25">
        <v>0.314</v>
      </c>
    </row>
    <row r="8" spans="1:13" x14ac:dyDescent="0.2">
      <c r="A8" s="5" t="s">
        <v>98</v>
      </c>
      <c r="B8" s="25">
        <f>J4/J3*B7</f>
        <v>54.143999999999998</v>
      </c>
      <c r="C8" s="25">
        <f>J4/J3*C7</f>
        <v>50.58</v>
      </c>
      <c r="D8" s="25">
        <f>J4/J3*D7</f>
        <v>41.94</v>
      </c>
      <c r="E8" s="25">
        <f>J4/J3*E7</f>
        <v>33.875999999999998</v>
      </c>
      <c r="F8" s="25">
        <f>J4/J3*F7</f>
        <v>17.891999999999999</v>
      </c>
      <c r="G8" s="25">
        <f>J4/J3*G7</f>
        <v>11.304</v>
      </c>
    </row>
    <row r="9" spans="1:13" x14ac:dyDescent="0.2">
      <c r="A9" s="5" t="s">
        <v>99</v>
      </c>
      <c r="B9" s="25">
        <f>COS(B8*PI()/180)</f>
        <v>0.58575011657054432</v>
      </c>
      <c r="C9" s="25">
        <f t="shared" ref="C9:G9" si="0">COS(C8*PI()/180)</f>
        <v>0.63500020942876068</v>
      </c>
      <c r="D9" s="25">
        <f t="shared" si="0"/>
        <v>0.74384512980702511</v>
      </c>
      <c r="E9" s="25">
        <f t="shared" si="0"/>
        <v>0.83024583999663693</v>
      </c>
      <c r="F9" s="25">
        <f t="shared" si="0"/>
        <v>0.9516373096830546</v>
      </c>
      <c r="G9" s="25">
        <f t="shared" si="0"/>
        <v>0.98060097653543121</v>
      </c>
    </row>
    <row r="10" spans="1:13" ht="13.5" x14ac:dyDescent="0.2">
      <c r="A10" s="67" t="s">
        <v>210</v>
      </c>
      <c r="B10" s="61">
        <f>(B6*B5)/($J5*B4*B9)</f>
        <v>0.90992701995985026</v>
      </c>
      <c r="C10" s="61">
        <f t="shared" ref="C10:E10" si="1">(C6*C5)/($J5*C4*C9)</f>
        <v>0.99432736468436822</v>
      </c>
      <c r="D10" s="61">
        <f t="shared" si="1"/>
        <v>0.97206628269557838</v>
      </c>
      <c r="E10" s="61">
        <f t="shared" si="1"/>
        <v>0.97013914270024282</v>
      </c>
      <c r="F10" s="61">
        <f>(F6*F5)/($J5*F4*F9)</f>
        <v>0.9085134784916733</v>
      </c>
      <c r="G10" s="61">
        <f>(G6*G5)/($J5*G4*G9)</f>
        <v>0.83337227830548122</v>
      </c>
    </row>
    <row r="12" spans="1:13" ht="12.75" customHeight="1" x14ac:dyDescent="0.2">
      <c r="A12" t="s">
        <v>100</v>
      </c>
    </row>
    <row r="14" spans="1:13" ht="12.75" customHeight="1" x14ac:dyDescent="0.2">
      <c r="A14" s="49" t="s">
        <v>101</v>
      </c>
      <c r="B14" s="49" t="s">
        <v>102</v>
      </c>
      <c r="C14" s="50">
        <f>85/42.2</f>
        <v>2.014218009478673</v>
      </c>
      <c r="D14" t="s">
        <v>103</v>
      </c>
    </row>
    <row r="15" spans="1:13" ht="12.75" customHeight="1" x14ac:dyDescent="0.2">
      <c r="G15" s="51">
        <f>(B6-G6)/(B5-G5)</f>
        <v>-4.0579272891838851</v>
      </c>
    </row>
    <row r="16" spans="1:13" ht="12.75" customHeight="1" x14ac:dyDescent="0.2">
      <c r="A16" t="s">
        <v>104</v>
      </c>
      <c r="B16" s="51">
        <v>2.33</v>
      </c>
      <c r="D16" t="s">
        <v>105</v>
      </c>
      <c r="E16">
        <v>132.19999999999999</v>
      </c>
    </row>
    <row r="17" spans="1:5" ht="12.75" customHeight="1" x14ac:dyDescent="0.2">
      <c r="A17" s="52" t="s">
        <v>98</v>
      </c>
      <c r="B17" s="51">
        <f>(J4/J3)*B16</f>
        <v>83.88</v>
      </c>
      <c r="D17" t="s">
        <v>95</v>
      </c>
      <c r="E17">
        <v>85</v>
      </c>
    </row>
    <row r="18" spans="1:5" ht="12.75" customHeight="1" x14ac:dyDescent="0.2">
      <c r="A18" t="s">
        <v>99</v>
      </c>
      <c r="B18" s="51">
        <f>COS(RADIANS(B17))</f>
        <v>0.10661115427525999</v>
      </c>
    </row>
    <row r="19" spans="1:5" ht="12.75" customHeight="1" x14ac:dyDescent="0.2">
      <c r="A19" s="69">
        <f>129.1/J6</f>
        <v>0.12909999999999999</v>
      </c>
      <c r="B19" s="69">
        <f>A19*85*0.11</f>
        <v>1.207085</v>
      </c>
    </row>
  </sheetData>
  <mergeCells count="1">
    <mergeCell ref="A2:G2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Roman,Обычный"&amp;12&amp;A</oddHeader>
    <oddFooter>&amp;C&amp;"Times New Roman,Обычный"&amp;12Страница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2"/>
  <sheetViews>
    <sheetView topLeftCell="B1" zoomScale="160" zoomScaleNormal="160" workbookViewId="0">
      <selection activeCell="G14" sqref="G14"/>
    </sheetView>
  </sheetViews>
  <sheetFormatPr defaultColWidth="11.5703125" defaultRowHeight="12.75" customHeight="1" x14ac:dyDescent="0.2"/>
  <cols>
    <col min="5" max="5" width="12.7109375" bestFit="1" customWidth="1"/>
    <col min="8" max="8" width="12.7109375" bestFit="1" customWidth="1"/>
    <col min="10" max="10" width="12.7109375" bestFit="1" customWidth="1"/>
  </cols>
  <sheetData>
    <row r="1" spans="1:15" x14ac:dyDescent="0.2">
      <c r="A1" s="62" t="s">
        <v>88</v>
      </c>
      <c r="B1" s="62"/>
      <c r="C1" s="62"/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</row>
    <row r="2" spans="1:15" ht="12.75" customHeight="1" x14ac:dyDescent="0.2">
      <c r="A2" s="81" t="s">
        <v>106</v>
      </c>
      <c r="B2" s="81"/>
      <c r="C2" s="81"/>
      <c r="D2" s="81"/>
      <c r="E2" s="81"/>
      <c r="F2" s="81"/>
      <c r="G2" s="81"/>
      <c r="H2" s="81"/>
      <c r="I2" s="81"/>
      <c r="J2" s="81"/>
      <c r="K2" s="63"/>
      <c r="M2" s="80" t="s">
        <v>115</v>
      </c>
      <c r="N2" s="80"/>
      <c r="O2" s="80"/>
    </row>
    <row r="3" spans="1:15" ht="12.75" customHeight="1" x14ac:dyDescent="0.2">
      <c r="A3" s="82" t="s">
        <v>107</v>
      </c>
      <c r="B3" s="82"/>
      <c r="C3" s="82"/>
      <c r="D3" s="82"/>
      <c r="E3" s="82"/>
      <c r="F3" s="82"/>
      <c r="G3" s="82"/>
      <c r="H3" s="82" t="s">
        <v>108</v>
      </c>
      <c r="I3" s="82"/>
      <c r="J3" s="82"/>
      <c r="K3" s="63"/>
      <c r="M3" s="63" t="s">
        <v>201</v>
      </c>
      <c r="N3" s="63">
        <v>464.62830000000002</v>
      </c>
      <c r="O3" s="63" t="s">
        <v>202</v>
      </c>
    </row>
    <row r="4" spans="1:15" ht="12.75" customHeight="1" x14ac:dyDescent="0.2">
      <c r="A4" s="82" t="s">
        <v>109</v>
      </c>
      <c r="B4" s="82" t="s">
        <v>95</v>
      </c>
      <c r="C4" s="82" t="s">
        <v>110</v>
      </c>
      <c r="D4" s="82" t="s">
        <v>98</v>
      </c>
      <c r="E4" s="82" t="s">
        <v>99</v>
      </c>
      <c r="F4" s="82" t="s">
        <v>111</v>
      </c>
      <c r="G4" s="82" t="s">
        <v>112</v>
      </c>
      <c r="H4" s="82" t="s">
        <v>113</v>
      </c>
      <c r="I4" s="82" t="s">
        <v>114</v>
      </c>
      <c r="J4" s="82" t="s">
        <v>200</v>
      </c>
      <c r="K4" s="63"/>
      <c r="M4" s="63" t="s">
        <v>203</v>
      </c>
      <c r="N4" s="63">
        <v>11000</v>
      </c>
      <c r="O4" s="63" t="s">
        <v>202</v>
      </c>
    </row>
    <row r="5" spans="1:15" x14ac:dyDescent="0.2">
      <c r="A5" s="82"/>
      <c r="B5" s="82"/>
      <c r="C5" s="82"/>
      <c r="D5" s="82"/>
      <c r="E5" s="82"/>
      <c r="F5" s="82"/>
      <c r="G5" s="82"/>
      <c r="H5" s="82"/>
      <c r="I5" s="82"/>
      <c r="J5" s="82"/>
      <c r="K5" s="63"/>
      <c r="M5" s="63" t="s">
        <v>206</v>
      </c>
      <c r="N5" s="63">
        <f>3*F6*G6</f>
        <v>269.12367</v>
      </c>
    </row>
    <row r="6" spans="1:15" x14ac:dyDescent="0.2">
      <c r="A6" s="64" t="s">
        <v>115</v>
      </c>
      <c r="B6" s="66">
        <v>190</v>
      </c>
      <c r="C6" s="66">
        <f>532.9/N10</f>
        <v>0.53289999999999993</v>
      </c>
      <c r="D6" s="66">
        <f>(360/N4)*(N3)</f>
        <v>15.206017090909093</v>
      </c>
      <c r="E6" s="66">
        <f>COS(D6*PI()/180)</f>
        <v>0.96498895455519629</v>
      </c>
      <c r="F6" s="66">
        <v>84.71</v>
      </c>
      <c r="G6" s="66">
        <v>1.0589999999999999</v>
      </c>
      <c r="H6" s="66">
        <f>N7</f>
        <v>293.1182899130045</v>
      </c>
      <c r="I6" s="66">
        <f>N6</f>
        <v>303.75299999999999</v>
      </c>
      <c r="J6" s="61">
        <f>N5/H6</f>
        <v>0.91814014771945507</v>
      </c>
      <c r="K6" s="63"/>
      <c r="M6" s="63" t="s">
        <v>114</v>
      </c>
      <c r="N6" s="63">
        <f>3*C6*B6</f>
        <v>303.75299999999999</v>
      </c>
    </row>
    <row r="7" spans="1:15" x14ac:dyDescent="0.2">
      <c r="A7" s="64" t="s">
        <v>116</v>
      </c>
      <c r="B7" s="66">
        <v>190</v>
      </c>
      <c r="C7" s="66">
        <v>2.9729999999999999</v>
      </c>
      <c r="D7" s="66">
        <f>(360/N14)*(N13)/N10</f>
        <v>6.5074909090909099E-5</v>
      </c>
      <c r="E7" s="66">
        <f>COS(D7*PI()/180)</f>
        <v>0.99999999999935496</v>
      </c>
      <c r="F7" s="66">
        <v>440.7</v>
      </c>
      <c r="G7" s="66">
        <v>5.9459999999999997</v>
      </c>
      <c r="H7" s="66">
        <f>N17</f>
        <v>1694.6099999989071</v>
      </c>
      <c r="I7" s="66">
        <f>N16</f>
        <v>1694.6100000000001</v>
      </c>
      <c r="J7" s="66">
        <f>N15/H7</f>
        <v>4.6389473684240441</v>
      </c>
      <c r="K7" s="63"/>
      <c r="M7" s="63" t="s">
        <v>113</v>
      </c>
      <c r="N7" s="63">
        <f>N6*E6</f>
        <v>293.1182899130045</v>
      </c>
    </row>
    <row r="8" spans="1:15" ht="12.75" customHeight="1" x14ac:dyDescent="0.2">
      <c r="A8" s="63"/>
      <c r="B8" s="63"/>
      <c r="C8" s="63"/>
      <c r="D8" s="63"/>
      <c r="E8" s="63"/>
      <c r="F8" s="63"/>
      <c r="G8" s="63"/>
      <c r="H8" s="63"/>
      <c r="I8" s="63"/>
      <c r="J8" s="63"/>
      <c r="K8" s="63"/>
      <c r="O8" s="63"/>
    </row>
    <row r="9" spans="1:15" ht="12.75" customHeight="1" x14ac:dyDescent="0.2">
      <c r="A9" s="63"/>
      <c r="B9" s="63"/>
      <c r="C9" s="63"/>
      <c r="D9" s="63"/>
      <c r="E9" s="63"/>
      <c r="F9" s="63" t="s">
        <v>207</v>
      </c>
      <c r="G9" s="63"/>
      <c r="H9" s="63"/>
      <c r="I9" s="63"/>
      <c r="J9" s="63"/>
      <c r="K9" s="63"/>
      <c r="M9" s="63" t="s">
        <v>39</v>
      </c>
      <c r="N9" s="63"/>
      <c r="O9" s="63"/>
    </row>
    <row r="10" spans="1:15" ht="12.75" customHeight="1" x14ac:dyDescent="0.2">
      <c r="A10" s="63"/>
      <c r="B10" s="63"/>
      <c r="C10" s="80" t="s">
        <v>209</v>
      </c>
      <c r="D10" s="80"/>
      <c r="E10" s="80"/>
      <c r="F10" s="80"/>
      <c r="G10" s="63"/>
      <c r="H10" s="80" t="s">
        <v>208</v>
      </c>
      <c r="I10" s="80"/>
      <c r="J10" s="80"/>
      <c r="K10" s="80"/>
      <c r="M10" s="63" t="s">
        <v>204</v>
      </c>
      <c r="N10" s="63">
        <v>1000</v>
      </c>
      <c r="O10" s="63" t="s">
        <v>205</v>
      </c>
    </row>
    <row r="11" spans="1:15" ht="12.75" customHeight="1" x14ac:dyDescent="0.2">
      <c r="A11" s="63"/>
      <c r="B11" s="63"/>
      <c r="C11" s="63"/>
      <c r="D11" s="63"/>
      <c r="E11" s="63"/>
      <c r="F11" s="63"/>
      <c r="G11" s="63"/>
      <c r="H11" s="63"/>
      <c r="I11" s="63"/>
      <c r="J11" s="63"/>
      <c r="K11" s="63"/>
      <c r="M11" s="63"/>
      <c r="N11" s="63"/>
      <c r="O11" s="63"/>
    </row>
    <row r="12" spans="1:15" ht="12.75" customHeight="1" x14ac:dyDescent="0.2">
      <c r="A12" s="63"/>
      <c r="B12" s="63"/>
      <c r="C12" s="63"/>
      <c r="D12" s="63"/>
      <c r="E12" s="63"/>
      <c r="F12" s="63"/>
      <c r="G12" s="63"/>
      <c r="H12" s="63"/>
      <c r="I12" s="63"/>
      <c r="J12" s="63"/>
      <c r="K12" s="63"/>
      <c r="M12" s="79" t="s">
        <v>116</v>
      </c>
      <c r="N12" s="79"/>
      <c r="O12" s="79"/>
    </row>
    <row r="13" spans="1:15" ht="12.75" customHeight="1" x14ac:dyDescent="0.2">
      <c r="A13" s="63"/>
      <c r="B13" s="63"/>
      <c r="C13" s="63"/>
      <c r="D13" s="63"/>
      <c r="E13" s="63"/>
      <c r="F13" s="63"/>
      <c r="G13" s="63"/>
      <c r="H13" s="63"/>
      <c r="I13" s="63"/>
      <c r="J13" s="63"/>
      <c r="K13" s="63"/>
      <c r="M13" t="s">
        <v>201</v>
      </c>
      <c r="N13">
        <v>1.9883999999999999</v>
      </c>
      <c r="O13" t="s">
        <v>202</v>
      </c>
    </row>
    <row r="14" spans="1:15" ht="12.75" customHeight="1" x14ac:dyDescent="0.2">
      <c r="A14" s="63"/>
      <c r="B14" s="63"/>
      <c r="C14" s="63"/>
      <c r="D14" s="63"/>
      <c r="E14" s="63"/>
      <c r="F14" s="63"/>
      <c r="G14" s="63"/>
      <c r="H14" s="63"/>
      <c r="I14" s="63"/>
      <c r="J14" s="63"/>
      <c r="K14" s="63"/>
      <c r="M14" s="63" t="s">
        <v>203</v>
      </c>
      <c r="N14" s="63">
        <v>11000</v>
      </c>
      <c r="O14" s="63" t="s">
        <v>202</v>
      </c>
    </row>
    <row r="15" spans="1:15" ht="12.75" customHeight="1" x14ac:dyDescent="0.2">
      <c r="A15" s="63"/>
      <c r="B15" s="63"/>
      <c r="C15" s="63"/>
      <c r="D15" s="63"/>
      <c r="E15" s="63"/>
      <c r="F15" s="63"/>
      <c r="G15" s="63"/>
      <c r="H15" s="63"/>
      <c r="I15" s="63"/>
      <c r="J15" s="63"/>
      <c r="K15" s="63"/>
      <c r="M15" s="63" t="s">
        <v>206</v>
      </c>
      <c r="N15" s="63">
        <f>3*F7*G7</f>
        <v>7861.2065999999995</v>
      </c>
      <c r="O15" s="63"/>
    </row>
    <row r="16" spans="1:15" ht="12.75" customHeight="1" x14ac:dyDescent="0.2">
      <c r="A16" s="63"/>
      <c r="B16" s="63"/>
      <c r="C16" s="63"/>
      <c r="D16" s="63"/>
      <c r="E16" s="63"/>
      <c r="F16" s="63"/>
      <c r="G16" s="63"/>
      <c r="H16" s="63"/>
      <c r="I16" s="63"/>
      <c r="J16" s="63"/>
      <c r="K16" s="63"/>
      <c r="M16" s="63" t="s">
        <v>114</v>
      </c>
      <c r="N16" s="63">
        <f>3*C7*B7</f>
        <v>1694.6100000000001</v>
      </c>
      <c r="O16" s="63"/>
    </row>
    <row r="17" spans="1:15" ht="12.75" customHeight="1" x14ac:dyDescent="0.2">
      <c r="A17" s="63"/>
      <c r="B17" s="63"/>
      <c r="C17" s="63"/>
      <c r="D17" s="63"/>
      <c r="E17" s="63"/>
      <c r="F17" s="63"/>
      <c r="G17" s="63"/>
      <c r="H17" s="63"/>
      <c r="I17" s="63"/>
      <c r="J17" s="63"/>
      <c r="K17" s="63"/>
      <c r="M17" s="63" t="s">
        <v>113</v>
      </c>
      <c r="N17" s="63">
        <f>E7*N16</f>
        <v>1694.6099999989071</v>
      </c>
      <c r="O17" s="63"/>
    </row>
    <row r="18" spans="1:15" ht="12.75" customHeight="1" x14ac:dyDescent="0.2">
      <c r="A18" s="63"/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</row>
    <row r="19" spans="1:15" ht="12.75" customHeight="1" x14ac:dyDescent="0.2">
      <c r="A19" s="63"/>
      <c r="B19" s="63"/>
      <c r="C19" s="63"/>
      <c r="D19" s="63"/>
      <c r="E19" s="63"/>
      <c r="F19" s="63"/>
      <c r="G19" s="63"/>
      <c r="H19" s="63"/>
      <c r="I19" s="63"/>
      <c r="J19" s="63"/>
      <c r="K19" s="63"/>
    </row>
    <row r="20" spans="1:15" ht="12.75" customHeight="1" x14ac:dyDescent="0.2">
      <c r="A20" s="63"/>
      <c r="B20" s="63"/>
      <c r="C20" s="63"/>
      <c r="D20" s="63"/>
      <c r="E20" s="63"/>
      <c r="F20" s="63"/>
      <c r="G20" s="63"/>
      <c r="H20" s="63"/>
      <c r="I20" s="63"/>
      <c r="J20" s="63"/>
      <c r="K20" s="63"/>
    </row>
    <row r="21" spans="1:15" ht="12.75" customHeight="1" x14ac:dyDescent="0.2">
      <c r="A21" s="63"/>
      <c r="B21" s="63"/>
      <c r="C21" s="63"/>
      <c r="D21" s="63"/>
      <c r="E21" s="63"/>
      <c r="F21" s="63"/>
      <c r="G21" s="63"/>
      <c r="H21" s="63"/>
      <c r="I21" s="63"/>
      <c r="J21" s="63"/>
      <c r="K21" s="63"/>
    </row>
    <row r="22" spans="1:15" ht="12.75" customHeight="1" x14ac:dyDescent="0.2">
      <c r="A22" s="63"/>
      <c r="B22" s="63"/>
      <c r="C22" s="63"/>
      <c r="D22" s="63"/>
      <c r="E22" s="63"/>
      <c r="F22" s="63"/>
      <c r="G22" s="63"/>
      <c r="H22" s="63"/>
      <c r="I22" s="63"/>
      <c r="J22" s="63"/>
      <c r="K22" s="63"/>
    </row>
  </sheetData>
  <mergeCells count="17">
    <mergeCell ref="J4:J5"/>
    <mergeCell ref="M12:O12"/>
    <mergeCell ref="C10:F10"/>
    <mergeCell ref="H10:K10"/>
    <mergeCell ref="M2:O2"/>
    <mergeCell ref="A2:J2"/>
    <mergeCell ref="A3:G3"/>
    <mergeCell ref="H3:J3"/>
    <mergeCell ref="A4:A5"/>
    <mergeCell ref="B4:B5"/>
    <mergeCell ref="C4:C5"/>
    <mergeCell ref="D4:D5"/>
    <mergeCell ref="E4:E5"/>
    <mergeCell ref="F4:F5"/>
    <mergeCell ref="G4:G5"/>
    <mergeCell ref="H4:H5"/>
    <mergeCell ref="I4:I5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 r:id="rId1"/>
  <headerFooter>
    <oddHeader>&amp;C&amp;"Times New Roman,Обычный"&amp;12&amp;A</oddHeader>
    <oddFooter>&amp;C&amp;"Times New Roman,Обычный"&amp;12Страница &amp;P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26"/>
  <sheetViews>
    <sheetView tabSelected="1" topLeftCell="A10" zoomScale="190" zoomScaleNormal="190" workbookViewId="0">
      <selection activeCell="G31" sqref="G31"/>
    </sheetView>
  </sheetViews>
  <sheetFormatPr defaultColWidth="11.5703125" defaultRowHeight="12.75" customHeight="1" x14ac:dyDescent="0.2"/>
  <cols>
    <col min="3" max="3" width="12.140625" customWidth="1"/>
  </cols>
  <sheetData>
    <row r="1" spans="1:23" x14ac:dyDescent="0.2">
      <c r="A1" s="53" t="s">
        <v>88</v>
      </c>
    </row>
    <row r="2" spans="1:23" ht="12.75" customHeight="1" x14ac:dyDescent="0.2">
      <c r="A2" s="79" t="s">
        <v>212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57"/>
    </row>
    <row r="3" spans="1:23" ht="12.75" customHeight="1" x14ac:dyDescent="0.2">
      <c r="A3" s="87" t="s">
        <v>123</v>
      </c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57"/>
    </row>
    <row r="4" spans="1:23" ht="12.75" customHeight="1" x14ac:dyDescent="0.2">
      <c r="A4" s="84" t="s">
        <v>118</v>
      </c>
      <c r="B4" s="88" t="s">
        <v>117</v>
      </c>
      <c r="C4" s="84">
        <v>5</v>
      </c>
      <c r="D4" s="84">
        <v>10</v>
      </c>
      <c r="E4" s="84">
        <v>15</v>
      </c>
      <c r="F4" s="84">
        <v>20</v>
      </c>
      <c r="G4" s="84">
        <v>25</v>
      </c>
      <c r="H4" s="84">
        <v>30</v>
      </c>
      <c r="I4" s="84">
        <v>35</v>
      </c>
      <c r="J4" s="84">
        <v>40</v>
      </c>
      <c r="K4" s="86">
        <v>45</v>
      </c>
      <c r="L4" s="86">
        <v>50</v>
      </c>
      <c r="M4" s="86">
        <v>55</v>
      </c>
      <c r="N4" s="83">
        <v>60</v>
      </c>
      <c r="O4" s="83">
        <v>65</v>
      </c>
      <c r="P4" s="83">
        <v>70</v>
      </c>
      <c r="Q4" s="83">
        <v>75</v>
      </c>
      <c r="R4" s="83">
        <v>80</v>
      </c>
      <c r="S4" s="83">
        <v>85</v>
      </c>
      <c r="T4" s="83">
        <v>90</v>
      </c>
      <c r="U4" s="83">
        <v>95</v>
      </c>
      <c r="V4" s="83">
        <v>100</v>
      </c>
    </row>
    <row r="5" spans="1:23" ht="12" customHeight="1" x14ac:dyDescent="0.2">
      <c r="A5" s="85"/>
      <c r="B5" s="89"/>
      <c r="C5" s="85"/>
      <c r="D5" s="85"/>
      <c r="E5" s="85"/>
      <c r="F5" s="85"/>
      <c r="G5" s="85"/>
      <c r="H5" s="85"/>
      <c r="I5" s="85"/>
      <c r="J5" s="85"/>
      <c r="K5" s="86"/>
      <c r="L5" s="86"/>
      <c r="M5" s="86"/>
      <c r="N5" s="83"/>
      <c r="O5" s="83"/>
      <c r="P5" s="83"/>
      <c r="Q5" s="83"/>
      <c r="R5" s="83"/>
      <c r="S5" s="83"/>
      <c r="T5" s="83"/>
      <c r="U5" s="83"/>
      <c r="V5" s="83"/>
    </row>
    <row r="6" spans="1:23" ht="12" customHeight="1" x14ac:dyDescent="0.2">
      <c r="A6" s="58" t="s">
        <v>120</v>
      </c>
      <c r="B6" s="58" t="s">
        <v>119</v>
      </c>
      <c r="C6" s="58">
        <v>0.05</v>
      </c>
      <c r="D6" s="58">
        <v>0.1</v>
      </c>
      <c r="E6" s="58">
        <v>0.15</v>
      </c>
      <c r="F6" s="65">
        <v>0.2</v>
      </c>
      <c r="G6" s="65">
        <v>0.25</v>
      </c>
      <c r="H6" s="65">
        <v>0.3</v>
      </c>
      <c r="I6" s="65">
        <v>0.35</v>
      </c>
      <c r="J6" s="65">
        <v>0.4</v>
      </c>
      <c r="K6" s="65">
        <v>0.45</v>
      </c>
      <c r="L6" s="65">
        <v>0.5</v>
      </c>
      <c r="M6" s="65">
        <v>0.55000000000000004</v>
      </c>
      <c r="N6" s="65">
        <v>0.6</v>
      </c>
      <c r="O6" s="65">
        <v>0.65</v>
      </c>
      <c r="P6" s="65">
        <v>0.7</v>
      </c>
      <c r="Q6" s="65">
        <v>0.75</v>
      </c>
      <c r="R6" s="65">
        <v>0.8</v>
      </c>
      <c r="S6" s="65">
        <v>0.85</v>
      </c>
      <c r="T6" s="65">
        <v>0.9</v>
      </c>
      <c r="U6" s="65">
        <v>0.95</v>
      </c>
      <c r="V6" s="65">
        <v>1</v>
      </c>
    </row>
    <row r="7" spans="1:23" ht="12.75" customHeight="1" x14ac:dyDescent="0.2">
      <c r="A7" s="58" t="s">
        <v>122</v>
      </c>
      <c r="B7" s="58" t="s">
        <v>121</v>
      </c>
      <c r="C7" s="58">
        <v>3.7999999999999999E-2</v>
      </c>
      <c r="D7" s="58">
        <v>0.14399999999999999</v>
      </c>
      <c r="E7" s="58">
        <v>0.41799999999999998</v>
      </c>
      <c r="F7" s="58">
        <v>1.0329999999999999</v>
      </c>
      <c r="G7" s="58">
        <v>2.1379999999999999</v>
      </c>
      <c r="H7" s="58">
        <v>3.7440000000000002</v>
      </c>
      <c r="I7" s="58">
        <v>5.7510000000000003</v>
      </c>
      <c r="J7" s="58">
        <v>8.0449999999999999</v>
      </c>
      <c r="K7" s="58">
        <v>10.54</v>
      </c>
      <c r="L7" s="58">
        <v>13.18</v>
      </c>
      <c r="M7" s="58">
        <v>15.93</v>
      </c>
      <c r="N7" s="58">
        <v>18.75</v>
      </c>
      <c r="O7" s="58">
        <v>21.64</v>
      </c>
      <c r="P7" s="58">
        <v>24.58</v>
      </c>
      <c r="Q7" s="58">
        <v>27.56</v>
      </c>
      <c r="R7" s="58">
        <v>30.57</v>
      </c>
      <c r="S7" s="58">
        <v>33.61</v>
      </c>
      <c r="T7" s="58">
        <v>36.67</v>
      </c>
      <c r="U7" s="58">
        <v>39.76</v>
      </c>
      <c r="V7" s="58">
        <v>42.86</v>
      </c>
    </row>
    <row r="8" spans="1:23" ht="12.75" customHeight="1" x14ac:dyDescent="0.2">
      <c r="A8" s="87" t="s">
        <v>124</v>
      </c>
      <c r="B8" s="87"/>
      <c r="C8" s="87"/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</row>
    <row r="10" spans="1:23" ht="12.75" customHeight="1" x14ac:dyDescent="0.2">
      <c r="A10" s="84" t="s">
        <v>118</v>
      </c>
      <c r="B10" s="88" t="s">
        <v>117</v>
      </c>
      <c r="C10" s="84">
        <v>5</v>
      </c>
      <c r="D10" s="84">
        <v>10</v>
      </c>
      <c r="E10" s="84">
        <v>15</v>
      </c>
      <c r="F10" s="84">
        <v>20</v>
      </c>
      <c r="G10" s="84">
        <v>25</v>
      </c>
      <c r="H10" s="84">
        <v>30</v>
      </c>
      <c r="I10" s="84">
        <v>35</v>
      </c>
      <c r="J10" s="84">
        <v>40</v>
      </c>
      <c r="K10" s="86">
        <v>45</v>
      </c>
      <c r="L10" s="86">
        <v>50</v>
      </c>
      <c r="M10" s="86">
        <v>55</v>
      </c>
      <c r="N10" s="83">
        <v>60</v>
      </c>
      <c r="O10" s="83">
        <v>65</v>
      </c>
      <c r="P10" s="83">
        <v>70</v>
      </c>
      <c r="Q10" s="83">
        <v>75</v>
      </c>
      <c r="R10" s="83">
        <v>80</v>
      </c>
      <c r="S10" s="83">
        <v>85</v>
      </c>
      <c r="T10" s="83">
        <v>90</v>
      </c>
      <c r="U10" s="83">
        <v>95</v>
      </c>
      <c r="V10" s="83">
        <v>100</v>
      </c>
    </row>
    <row r="11" spans="1:23" ht="12.75" customHeight="1" x14ac:dyDescent="0.2">
      <c r="A11" s="85"/>
      <c r="B11" s="89"/>
      <c r="C11" s="85"/>
      <c r="D11" s="85"/>
      <c r="E11" s="85"/>
      <c r="F11" s="85"/>
      <c r="G11" s="85"/>
      <c r="H11" s="85"/>
      <c r="I11" s="85"/>
      <c r="J11" s="85"/>
      <c r="K11" s="86"/>
      <c r="L11" s="86"/>
      <c r="M11" s="86"/>
      <c r="N11" s="83"/>
      <c r="O11" s="83"/>
      <c r="P11" s="83"/>
      <c r="Q11" s="83"/>
      <c r="R11" s="83"/>
      <c r="S11" s="83"/>
      <c r="T11" s="83"/>
      <c r="U11" s="83"/>
      <c r="V11" s="83"/>
    </row>
    <row r="12" spans="1:23" ht="12.75" customHeight="1" x14ac:dyDescent="0.2">
      <c r="A12" s="58" t="s">
        <v>125</v>
      </c>
      <c r="B12" s="58" t="s">
        <v>119</v>
      </c>
      <c r="C12" s="58">
        <v>0.9</v>
      </c>
      <c r="D12" s="58">
        <v>1.8</v>
      </c>
      <c r="E12" s="58">
        <v>2.7</v>
      </c>
      <c r="F12" s="58">
        <v>3.6</v>
      </c>
      <c r="G12" s="65">
        <v>4.5</v>
      </c>
      <c r="H12" s="65">
        <v>5.4</v>
      </c>
      <c r="I12" s="65">
        <v>6.3</v>
      </c>
      <c r="J12" s="65">
        <v>7.2</v>
      </c>
      <c r="K12" s="65">
        <v>8.1</v>
      </c>
      <c r="L12" s="65">
        <v>9</v>
      </c>
      <c r="M12" s="65">
        <v>9.9</v>
      </c>
      <c r="N12" s="65">
        <v>10.8</v>
      </c>
      <c r="O12" s="65">
        <v>11.7</v>
      </c>
      <c r="P12" s="65">
        <v>12.6</v>
      </c>
      <c r="Q12" s="65">
        <v>13.5</v>
      </c>
      <c r="R12" s="65">
        <v>14.4</v>
      </c>
      <c r="S12" s="65">
        <v>15.3</v>
      </c>
      <c r="T12" s="65">
        <v>16.2</v>
      </c>
      <c r="U12" s="65">
        <v>17.100000000000001</v>
      </c>
      <c r="V12" s="65">
        <v>18</v>
      </c>
    </row>
    <row r="13" spans="1:23" ht="12.75" customHeight="1" x14ac:dyDescent="0.2">
      <c r="A13" s="58" t="s">
        <v>126</v>
      </c>
      <c r="B13" s="58" t="s">
        <v>121</v>
      </c>
      <c r="C13" s="58">
        <v>0.02</v>
      </c>
      <c r="D13" s="58">
        <v>0.02</v>
      </c>
      <c r="E13" s="58">
        <v>0.02</v>
      </c>
      <c r="F13" s="65">
        <v>0.02</v>
      </c>
      <c r="G13" s="65">
        <v>0.02</v>
      </c>
      <c r="H13" s="65">
        <v>0.02</v>
      </c>
      <c r="I13" s="65">
        <v>0.02</v>
      </c>
      <c r="J13" s="65">
        <v>0.02</v>
      </c>
      <c r="K13" s="65">
        <v>0.02</v>
      </c>
      <c r="L13" s="65">
        <v>0.02</v>
      </c>
      <c r="M13" s="65">
        <v>0.02</v>
      </c>
      <c r="N13" s="65">
        <v>0.02</v>
      </c>
      <c r="O13" s="65">
        <v>0.02</v>
      </c>
      <c r="P13" s="65">
        <v>0.02</v>
      </c>
      <c r="Q13" s="65">
        <v>0.02</v>
      </c>
      <c r="R13" s="65">
        <v>0.02</v>
      </c>
      <c r="S13" s="58">
        <v>9.3919999999999995</v>
      </c>
      <c r="T13" s="58">
        <v>66.03</v>
      </c>
      <c r="U13" s="58">
        <v>124.9</v>
      </c>
      <c r="V13" s="58">
        <v>184.2</v>
      </c>
    </row>
    <row r="15" spans="1:23" ht="12.75" customHeight="1" x14ac:dyDescent="0.2">
      <c r="A15" s="79" t="s">
        <v>213</v>
      </c>
      <c r="B15" s="79"/>
      <c r="C15" s="79"/>
      <c r="D15" s="79"/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</row>
    <row r="16" spans="1:23" ht="12.75" customHeight="1" x14ac:dyDescent="0.2">
      <c r="A16" s="87" t="s">
        <v>123</v>
      </c>
      <c r="B16" s="87"/>
      <c r="C16" s="87"/>
      <c r="D16" s="87"/>
      <c r="E16" s="87"/>
      <c r="F16" s="87"/>
      <c r="G16" s="87"/>
      <c r="H16" s="87"/>
      <c r="I16" s="87"/>
      <c r="J16" s="87"/>
      <c r="K16" s="87"/>
      <c r="L16" s="87"/>
      <c r="M16" s="87"/>
      <c r="N16" s="87"/>
      <c r="O16" s="87"/>
      <c r="P16" s="87"/>
      <c r="Q16" s="87"/>
      <c r="R16" s="87"/>
      <c r="S16" s="87"/>
      <c r="T16" s="87"/>
      <c r="U16" s="87"/>
      <c r="V16" s="87"/>
    </row>
    <row r="17" spans="1:22" ht="12.75" customHeight="1" x14ac:dyDescent="0.2">
      <c r="A17" s="84" t="s">
        <v>118</v>
      </c>
      <c r="B17" s="88" t="s">
        <v>117</v>
      </c>
      <c r="C17" s="84">
        <v>5</v>
      </c>
      <c r="D17" s="84">
        <v>10</v>
      </c>
      <c r="E17" s="84">
        <v>15</v>
      </c>
      <c r="F17" s="84">
        <v>20</v>
      </c>
      <c r="G17" s="84">
        <v>25</v>
      </c>
      <c r="H17" s="84">
        <v>30</v>
      </c>
      <c r="I17" s="84">
        <v>35</v>
      </c>
      <c r="J17" s="84">
        <v>40</v>
      </c>
      <c r="K17" s="86">
        <v>45</v>
      </c>
      <c r="L17" s="86">
        <v>50</v>
      </c>
      <c r="M17" s="86">
        <v>55</v>
      </c>
      <c r="N17" s="83">
        <v>60</v>
      </c>
      <c r="O17" s="83">
        <v>65</v>
      </c>
      <c r="P17" s="83">
        <v>70</v>
      </c>
      <c r="Q17" s="83">
        <v>75</v>
      </c>
      <c r="R17" s="83">
        <v>80</v>
      </c>
      <c r="S17" s="83">
        <v>85</v>
      </c>
      <c r="T17" s="83">
        <v>90</v>
      </c>
      <c r="U17" s="83">
        <v>95</v>
      </c>
      <c r="V17" s="83">
        <v>100</v>
      </c>
    </row>
    <row r="18" spans="1:22" ht="12.75" customHeight="1" x14ac:dyDescent="0.2">
      <c r="A18" s="85"/>
      <c r="B18" s="89"/>
      <c r="C18" s="85"/>
      <c r="D18" s="85"/>
      <c r="E18" s="85"/>
      <c r="F18" s="85"/>
      <c r="G18" s="85"/>
      <c r="H18" s="85"/>
      <c r="I18" s="85"/>
      <c r="J18" s="85"/>
      <c r="K18" s="86"/>
      <c r="L18" s="86"/>
      <c r="M18" s="86"/>
      <c r="N18" s="83"/>
      <c r="O18" s="83"/>
      <c r="P18" s="83"/>
      <c r="Q18" s="83"/>
      <c r="R18" s="83"/>
      <c r="S18" s="83"/>
      <c r="T18" s="83"/>
      <c r="U18" s="83"/>
      <c r="V18" s="83"/>
    </row>
    <row r="19" spans="1:22" ht="12.75" customHeight="1" x14ac:dyDescent="0.2">
      <c r="A19" s="65" t="s">
        <v>120</v>
      </c>
      <c r="B19" s="65" t="s">
        <v>119</v>
      </c>
      <c r="C19" s="65">
        <v>0.05</v>
      </c>
      <c r="D19" s="65">
        <v>0.1</v>
      </c>
      <c r="E19" s="65">
        <v>0.15</v>
      </c>
      <c r="F19" s="65">
        <v>0.2</v>
      </c>
      <c r="G19" s="65">
        <v>0.25</v>
      </c>
      <c r="H19" s="65">
        <v>0.3</v>
      </c>
      <c r="I19" s="65">
        <v>0.35</v>
      </c>
      <c r="J19" s="65">
        <v>0.4</v>
      </c>
      <c r="K19" s="65">
        <v>0.45</v>
      </c>
      <c r="L19" s="65">
        <v>0.5</v>
      </c>
      <c r="M19" s="65">
        <v>0.55000000000000004</v>
      </c>
      <c r="N19" s="65">
        <v>0.6</v>
      </c>
      <c r="O19" s="65">
        <v>0.65</v>
      </c>
      <c r="P19" s="65">
        <v>0.7</v>
      </c>
      <c r="Q19" s="65">
        <v>0.75</v>
      </c>
      <c r="R19" s="65">
        <v>0.8</v>
      </c>
      <c r="S19" s="65">
        <v>0.85</v>
      </c>
      <c r="T19" s="65">
        <v>0.9</v>
      </c>
      <c r="U19" s="65">
        <v>0.95</v>
      </c>
      <c r="V19" s="65">
        <v>1</v>
      </c>
    </row>
    <row r="20" spans="1:22" ht="12.75" customHeight="1" x14ac:dyDescent="0.2">
      <c r="A20" s="65" t="s">
        <v>122</v>
      </c>
      <c r="B20" s="65" t="s">
        <v>121</v>
      </c>
      <c r="C20" s="65">
        <v>3.7999999999999999E-2</v>
      </c>
      <c r="D20" s="65">
        <v>0.14399999999999999</v>
      </c>
      <c r="E20" s="65">
        <v>0.41799999999999998</v>
      </c>
      <c r="F20" s="65">
        <v>1.0329999999999999</v>
      </c>
      <c r="G20" s="65">
        <v>2.1379999999999999</v>
      </c>
      <c r="H20" s="65">
        <v>3.7440000000000002</v>
      </c>
      <c r="I20" s="65">
        <v>5.7510000000000003</v>
      </c>
      <c r="J20" s="65">
        <v>8.0449999999999999</v>
      </c>
      <c r="K20" s="65">
        <v>10.54</v>
      </c>
      <c r="L20" s="65">
        <v>13.18</v>
      </c>
      <c r="M20" s="65">
        <v>15.93</v>
      </c>
      <c r="N20" s="65">
        <v>18.75</v>
      </c>
      <c r="O20" s="65">
        <v>21.64</v>
      </c>
      <c r="P20" s="65">
        <v>24.58</v>
      </c>
      <c r="Q20" s="65">
        <v>27.56</v>
      </c>
      <c r="R20" s="65">
        <v>30.57</v>
      </c>
      <c r="S20" s="65">
        <v>33.61</v>
      </c>
      <c r="T20" s="65">
        <v>36.67</v>
      </c>
      <c r="U20" s="65">
        <v>39.76</v>
      </c>
      <c r="V20" s="65">
        <v>42.86</v>
      </c>
    </row>
    <row r="21" spans="1:22" ht="12.75" customHeight="1" x14ac:dyDescent="0.2">
      <c r="A21" s="87" t="s">
        <v>124</v>
      </c>
      <c r="B21" s="87"/>
      <c r="C21" s="87"/>
      <c r="D21" s="87"/>
      <c r="E21" s="87"/>
      <c r="F21" s="87"/>
      <c r="G21" s="87"/>
      <c r="H21" s="87"/>
      <c r="I21" s="87"/>
      <c r="J21" s="87"/>
      <c r="K21" s="87"/>
      <c r="L21" s="87"/>
      <c r="M21" s="87"/>
      <c r="N21" s="87"/>
      <c r="O21" s="87"/>
      <c r="P21" s="87"/>
      <c r="Q21" s="87"/>
      <c r="R21" s="87"/>
      <c r="S21" s="87"/>
      <c r="T21" s="87"/>
      <c r="U21" s="87"/>
      <c r="V21" s="87"/>
    </row>
    <row r="23" spans="1:22" ht="12.75" customHeight="1" x14ac:dyDescent="0.2">
      <c r="A23" s="84" t="s">
        <v>118</v>
      </c>
      <c r="B23" s="88" t="s">
        <v>117</v>
      </c>
      <c r="C23" s="84">
        <v>5</v>
      </c>
      <c r="D23" s="84">
        <v>10</v>
      </c>
      <c r="E23" s="84">
        <v>15</v>
      </c>
      <c r="F23" s="84">
        <v>20</v>
      </c>
      <c r="G23" s="84">
        <v>25</v>
      </c>
      <c r="H23" s="84">
        <v>30</v>
      </c>
      <c r="I23" s="84">
        <v>35</v>
      </c>
      <c r="J23" s="84">
        <v>40</v>
      </c>
      <c r="K23" s="86">
        <v>45</v>
      </c>
      <c r="L23" s="86">
        <v>50</v>
      </c>
      <c r="M23" s="86">
        <v>55</v>
      </c>
      <c r="N23" s="83">
        <v>60</v>
      </c>
      <c r="O23" s="83">
        <v>65</v>
      </c>
      <c r="P23" s="83">
        <v>70</v>
      </c>
      <c r="Q23" s="83">
        <v>75</v>
      </c>
      <c r="R23" s="83">
        <v>80</v>
      </c>
      <c r="S23" s="83">
        <v>85</v>
      </c>
      <c r="T23" s="83">
        <v>90</v>
      </c>
      <c r="U23" s="83">
        <v>95</v>
      </c>
      <c r="V23" s="83">
        <v>100</v>
      </c>
    </row>
    <row r="24" spans="1:22" ht="12.75" customHeight="1" x14ac:dyDescent="0.2">
      <c r="A24" s="85"/>
      <c r="B24" s="89"/>
      <c r="C24" s="85"/>
      <c r="D24" s="85"/>
      <c r="E24" s="85"/>
      <c r="F24" s="85"/>
      <c r="G24" s="85"/>
      <c r="H24" s="85"/>
      <c r="I24" s="85"/>
      <c r="J24" s="85"/>
      <c r="K24" s="86"/>
      <c r="L24" s="86"/>
      <c r="M24" s="86"/>
      <c r="N24" s="83"/>
      <c r="O24" s="83"/>
      <c r="P24" s="83"/>
      <c r="Q24" s="83"/>
      <c r="R24" s="83"/>
      <c r="S24" s="83"/>
      <c r="T24" s="83"/>
      <c r="U24" s="83"/>
      <c r="V24" s="83"/>
    </row>
    <row r="25" spans="1:22" ht="12.75" customHeight="1" x14ac:dyDescent="0.2">
      <c r="A25" s="65" t="s">
        <v>125</v>
      </c>
      <c r="B25" s="65" t="s">
        <v>119</v>
      </c>
      <c r="C25" s="65">
        <v>0.9</v>
      </c>
      <c r="D25" s="65">
        <v>1.8</v>
      </c>
      <c r="E25" s="65">
        <v>2.7</v>
      </c>
      <c r="F25" s="65">
        <v>3.6</v>
      </c>
      <c r="G25" s="65">
        <v>4.5</v>
      </c>
      <c r="H25" s="65">
        <v>5.4</v>
      </c>
      <c r="I25" s="65">
        <v>6.3</v>
      </c>
      <c r="J25" s="65">
        <v>7.2</v>
      </c>
      <c r="K25" s="65">
        <v>8.1</v>
      </c>
      <c r="L25" s="65">
        <v>9</v>
      </c>
      <c r="M25" s="65">
        <v>9.9</v>
      </c>
      <c r="N25" s="65">
        <v>10.8</v>
      </c>
      <c r="O25" s="65">
        <v>11.7</v>
      </c>
      <c r="P25" s="65">
        <v>12.6</v>
      </c>
      <c r="Q25" s="65">
        <v>13.5</v>
      </c>
      <c r="R25" s="65">
        <v>14.4</v>
      </c>
      <c r="S25" s="65">
        <v>15.3</v>
      </c>
      <c r="T25" s="65">
        <v>16.2</v>
      </c>
      <c r="U25" s="65">
        <v>17.100000000000001</v>
      </c>
      <c r="V25" s="65">
        <v>18</v>
      </c>
    </row>
    <row r="26" spans="1:22" ht="12.75" customHeight="1" x14ac:dyDescent="0.2">
      <c r="A26" s="65" t="s">
        <v>126</v>
      </c>
      <c r="B26" s="65" t="s">
        <v>121</v>
      </c>
      <c r="C26" s="65">
        <v>0.02</v>
      </c>
      <c r="D26" s="65">
        <v>0.02</v>
      </c>
      <c r="E26" s="65">
        <v>0.02</v>
      </c>
      <c r="F26" s="65">
        <v>0.02</v>
      </c>
      <c r="G26" s="65">
        <v>0.02</v>
      </c>
      <c r="H26" s="65">
        <v>0.02</v>
      </c>
      <c r="I26" s="65">
        <v>0.02</v>
      </c>
      <c r="J26" s="65">
        <v>0.02</v>
      </c>
      <c r="K26" s="65">
        <v>0.02</v>
      </c>
      <c r="L26" s="65">
        <v>0.02</v>
      </c>
      <c r="M26" s="65">
        <v>0.02</v>
      </c>
      <c r="N26" s="65">
        <v>0.02</v>
      </c>
      <c r="O26" s="65">
        <v>0.02</v>
      </c>
      <c r="P26" s="65">
        <v>0.02</v>
      </c>
      <c r="Q26" s="65">
        <v>0.02</v>
      </c>
      <c r="R26" s="65">
        <v>0.02</v>
      </c>
      <c r="S26" s="65">
        <v>9.3919999999999995</v>
      </c>
      <c r="T26" s="65">
        <v>66.03</v>
      </c>
      <c r="U26" s="65">
        <v>124.9</v>
      </c>
      <c r="V26" s="65">
        <v>184.2</v>
      </c>
    </row>
  </sheetData>
  <mergeCells count="94">
    <mergeCell ref="U23:U24"/>
    <mergeCell ref="V23:V24"/>
    <mergeCell ref="P23:P24"/>
    <mergeCell ref="Q23:Q24"/>
    <mergeCell ref="R23:R24"/>
    <mergeCell ref="S23:S24"/>
    <mergeCell ref="T23:T24"/>
    <mergeCell ref="K23:K24"/>
    <mergeCell ref="L23:L24"/>
    <mergeCell ref="M23:M24"/>
    <mergeCell ref="N23:N24"/>
    <mergeCell ref="O23:O24"/>
    <mergeCell ref="F23:F24"/>
    <mergeCell ref="G23:G24"/>
    <mergeCell ref="H23:H24"/>
    <mergeCell ref="I23:I24"/>
    <mergeCell ref="J23:J24"/>
    <mergeCell ref="A23:A24"/>
    <mergeCell ref="B23:B24"/>
    <mergeCell ref="C23:C24"/>
    <mergeCell ref="D23:D24"/>
    <mergeCell ref="E23:E24"/>
    <mergeCell ref="S17:S18"/>
    <mergeCell ref="T17:T18"/>
    <mergeCell ref="U17:U18"/>
    <mergeCell ref="V17:V18"/>
    <mergeCell ref="A21:V21"/>
    <mergeCell ref="N17:N18"/>
    <mergeCell ref="O17:O18"/>
    <mergeCell ref="P17:P18"/>
    <mergeCell ref="Q17:Q18"/>
    <mergeCell ref="R17:R18"/>
    <mergeCell ref="A2:V2"/>
    <mergeCell ref="A15:V15"/>
    <mergeCell ref="A16:V16"/>
    <mergeCell ref="A17:A18"/>
    <mergeCell ref="B17:B18"/>
    <mergeCell ref="C17:C18"/>
    <mergeCell ref="D17:D18"/>
    <mergeCell ref="E17:E18"/>
    <mergeCell ref="F17:F18"/>
    <mergeCell ref="G17:G18"/>
    <mergeCell ref="H17:H18"/>
    <mergeCell ref="I17:I18"/>
    <mergeCell ref="J17:J18"/>
    <mergeCell ref="K17:K18"/>
    <mergeCell ref="L17:L18"/>
    <mergeCell ref="M17:M18"/>
    <mergeCell ref="I4:I5"/>
    <mergeCell ref="E10:E11"/>
    <mergeCell ref="A4:A5"/>
    <mergeCell ref="B4:B5"/>
    <mergeCell ref="C4:C5"/>
    <mergeCell ref="D4:D5"/>
    <mergeCell ref="E4:E5"/>
    <mergeCell ref="F4:F5"/>
    <mergeCell ref="G4:G5"/>
    <mergeCell ref="H4:H5"/>
    <mergeCell ref="I10:I11"/>
    <mergeCell ref="V4:V5"/>
    <mergeCell ref="A3:V3"/>
    <mergeCell ref="A8:V8"/>
    <mergeCell ref="A10:A11"/>
    <mergeCell ref="B10:B11"/>
    <mergeCell ref="C10:C11"/>
    <mergeCell ref="D10:D11"/>
    <mergeCell ref="F10:F11"/>
    <mergeCell ref="G10:G11"/>
    <mergeCell ref="H10:H11"/>
    <mergeCell ref="P4:P5"/>
    <mergeCell ref="Q4:Q5"/>
    <mergeCell ref="R4:R5"/>
    <mergeCell ref="S4:S5"/>
    <mergeCell ref="T4:T5"/>
    <mergeCell ref="O4:O5"/>
    <mergeCell ref="U4:U5"/>
    <mergeCell ref="J10:J11"/>
    <mergeCell ref="K10:K11"/>
    <mergeCell ref="L10:L11"/>
    <mergeCell ref="M10:M11"/>
    <mergeCell ref="U10:U11"/>
    <mergeCell ref="N10:N11"/>
    <mergeCell ref="N4:N5"/>
    <mergeCell ref="J4:J5"/>
    <mergeCell ref="K4:K5"/>
    <mergeCell ref="L4:L5"/>
    <mergeCell ref="M4:M5"/>
    <mergeCell ref="V10:V11"/>
    <mergeCell ref="O10:O11"/>
    <mergeCell ref="P10:P11"/>
    <mergeCell ref="Q10:Q11"/>
    <mergeCell ref="R10:R11"/>
    <mergeCell ref="S10:S11"/>
    <mergeCell ref="T10:T11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 r:id="rId1"/>
  <headerFooter>
    <oddFooter>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8"/>
  <sheetViews>
    <sheetView zoomScale="210" zoomScaleNormal="210" workbookViewId="0">
      <selection activeCell="H16" sqref="H16"/>
    </sheetView>
  </sheetViews>
  <sheetFormatPr defaultColWidth="11.5703125" defaultRowHeight="12.75" customHeight="1" x14ac:dyDescent="0.2"/>
  <sheetData>
    <row r="1" spans="1:8" x14ac:dyDescent="0.2">
      <c r="A1" s="45" t="s">
        <v>88</v>
      </c>
      <c r="B1" s="55"/>
      <c r="C1" s="55"/>
      <c r="D1" s="55"/>
      <c r="E1" s="55"/>
      <c r="F1" s="55"/>
      <c r="G1" s="55"/>
      <c r="H1" s="55"/>
    </row>
    <row r="2" spans="1:8" ht="12.75" customHeight="1" x14ac:dyDescent="0.2">
      <c r="A2" s="90" t="s">
        <v>127</v>
      </c>
      <c r="B2" s="91"/>
      <c r="C2" s="91"/>
      <c r="D2" s="91"/>
      <c r="E2" s="91"/>
      <c r="F2" s="91"/>
      <c r="G2" s="91"/>
      <c r="H2" s="92"/>
    </row>
    <row r="3" spans="1:8" ht="12.75" customHeight="1" x14ac:dyDescent="0.2">
      <c r="A3" s="59" t="s">
        <v>4</v>
      </c>
      <c r="B3" s="59" t="s">
        <v>100</v>
      </c>
      <c r="C3" s="59">
        <v>100</v>
      </c>
      <c r="D3" s="59">
        <v>80</v>
      </c>
      <c r="E3" s="59">
        <v>60</v>
      </c>
      <c r="F3" s="59">
        <v>40</v>
      </c>
      <c r="G3" s="59">
        <v>20</v>
      </c>
      <c r="H3" s="59">
        <v>10</v>
      </c>
    </row>
    <row r="4" spans="1:8" ht="12.75" customHeight="1" x14ac:dyDescent="0.2">
      <c r="A4" s="55" t="s">
        <v>130</v>
      </c>
      <c r="B4" s="59"/>
      <c r="C4" s="59"/>
      <c r="D4" s="59"/>
      <c r="E4" s="59"/>
      <c r="F4" s="59"/>
      <c r="G4" s="59"/>
      <c r="H4" s="59"/>
    </row>
    <row r="5" spans="1:8" ht="12.75" customHeight="1" x14ac:dyDescent="0.2">
      <c r="A5" s="59" t="s">
        <v>131</v>
      </c>
      <c r="B5" s="59"/>
      <c r="C5" s="59"/>
      <c r="D5" s="59"/>
      <c r="E5" s="59"/>
      <c r="F5" s="59"/>
      <c r="G5" s="59"/>
      <c r="H5" s="59"/>
    </row>
    <row r="6" spans="1:8" ht="12.75" customHeight="1" x14ac:dyDescent="0.2">
      <c r="A6" s="59" t="s">
        <v>96</v>
      </c>
      <c r="B6" s="59"/>
      <c r="C6" s="59"/>
      <c r="D6" s="59"/>
      <c r="E6" s="59"/>
      <c r="F6" s="59"/>
      <c r="G6" s="59"/>
      <c r="H6" s="59"/>
    </row>
    <row r="7" spans="1:8" ht="12.75" customHeight="1" x14ac:dyDescent="0.2">
      <c r="A7" s="59" t="s">
        <v>129</v>
      </c>
      <c r="B7" s="59"/>
      <c r="C7" s="59"/>
      <c r="D7" s="59"/>
      <c r="E7" s="59"/>
      <c r="F7" s="59"/>
      <c r="G7" s="59"/>
      <c r="H7" s="59"/>
    </row>
    <row r="8" spans="1:8" ht="12.75" customHeight="1" x14ac:dyDescent="0.2">
      <c r="A8" s="59" t="s">
        <v>132</v>
      </c>
      <c r="B8" s="59"/>
      <c r="C8" s="59"/>
      <c r="D8" s="59"/>
      <c r="E8" s="59"/>
      <c r="F8" s="59"/>
      <c r="G8" s="59"/>
      <c r="H8" s="59"/>
    </row>
    <row r="9" spans="1:8" ht="12.75" customHeight="1" x14ac:dyDescent="0.2">
      <c r="A9" s="59" t="s">
        <v>128</v>
      </c>
      <c r="B9" s="59"/>
      <c r="C9" s="59"/>
      <c r="D9" s="59"/>
      <c r="E9" s="59"/>
      <c r="F9" s="59"/>
      <c r="G9" s="59"/>
      <c r="H9" s="59"/>
    </row>
    <row r="10" spans="1:8" ht="12.75" customHeight="1" x14ac:dyDescent="0.2">
      <c r="A10" s="59" t="s">
        <v>199</v>
      </c>
      <c r="B10" s="59"/>
      <c r="C10" s="59"/>
      <c r="D10" s="59"/>
      <c r="E10" s="59"/>
      <c r="F10" s="59"/>
      <c r="G10" s="59"/>
      <c r="H10" s="59"/>
    </row>
    <row r="11" spans="1:8" ht="12.75" customHeight="1" x14ac:dyDescent="0.2">
      <c r="A11" s="55"/>
      <c r="B11" s="55"/>
      <c r="C11" s="55"/>
      <c r="D11" s="55"/>
      <c r="E11" s="55"/>
      <c r="F11" s="55"/>
      <c r="G11" s="55"/>
      <c r="H11" s="55"/>
    </row>
    <row r="12" spans="1:8" ht="12.75" customHeight="1" x14ac:dyDescent="0.2">
      <c r="A12" s="90" t="s">
        <v>133</v>
      </c>
      <c r="B12" s="91"/>
      <c r="C12" s="91"/>
      <c r="D12" s="92"/>
      <c r="E12" s="55"/>
      <c r="F12" s="55"/>
      <c r="G12" s="55"/>
      <c r="H12" s="55"/>
    </row>
    <row r="13" spans="1:8" ht="12.75" customHeight="1" x14ac:dyDescent="0.2">
      <c r="A13" s="59" t="s">
        <v>4</v>
      </c>
      <c r="B13" s="59" t="s">
        <v>100</v>
      </c>
      <c r="C13" s="59">
        <v>100</v>
      </c>
      <c r="D13" s="59">
        <v>10</v>
      </c>
      <c r="E13" s="55"/>
      <c r="F13" s="55"/>
      <c r="G13" s="55"/>
      <c r="H13" s="55"/>
    </row>
    <row r="14" spans="1:8" ht="12.75" customHeight="1" x14ac:dyDescent="0.2">
      <c r="A14" s="59" t="s">
        <v>130</v>
      </c>
      <c r="B14" s="59"/>
      <c r="C14" s="59"/>
      <c r="D14" s="59"/>
      <c r="E14" s="55"/>
      <c r="F14" s="55"/>
      <c r="G14" s="55"/>
      <c r="H14" s="55"/>
    </row>
    <row r="15" spans="1:8" ht="12.75" customHeight="1" x14ac:dyDescent="0.2">
      <c r="A15" s="59" t="s">
        <v>131</v>
      </c>
      <c r="B15" s="59"/>
      <c r="C15" s="59"/>
      <c r="D15" s="59"/>
      <c r="E15" s="55"/>
      <c r="F15" s="55"/>
      <c r="G15" s="55"/>
      <c r="H15" s="55"/>
    </row>
    <row r="16" spans="1:8" ht="12.75" customHeight="1" x14ac:dyDescent="0.2">
      <c r="A16" s="55" t="s">
        <v>92</v>
      </c>
      <c r="B16" s="59"/>
      <c r="C16" s="59"/>
      <c r="D16" s="59"/>
      <c r="E16" s="55"/>
      <c r="F16" s="55"/>
      <c r="G16" s="55"/>
      <c r="H16" s="55"/>
    </row>
    <row r="17" spans="1:8" ht="12.75" customHeight="1" x14ac:dyDescent="0.2">
      <c r="A17" s="55" t="s">
        <v>198</v>
      </c>
      <c r="B17" s="59" t="s">
        <v>134</v>
      </c>
      <c r="C17" s="59"/>
      <c r="D17" s="59"/>
      <c r="E17" s="55"/>
      <c r="F17" s="55"/>
      <c r="G17" s="55"/>
      <c r="H17" s="55"/>
    </row>
    <row r="18" spans="1:8" ht="12.75" customHeight="1" x14ac:dyDescent="0.2">
      <c r="A18" s="55"/>
      <c r="B18" s="55"/>
      <c r="C18" s="55"/>
      <c r="D18" s="55"/>
      <c r="E18" s="55"/>
      <c r="F18" s="55"/>
      <c r="G18" s="55"/>
      <c r="H18" s="55"/>
    </row>
  </sheetData>
  <mergeCells count="2">
    <mergeCell ref="A2:H2"/>
    <mergeCell ref="A12:D12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Roman,Обычный"&amp;12&amp;A</oddHeader>
    <oddFooter>&amp;C&amp;"Times New Roman,Обычный"&amp;12Страница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E2BCE-0A3A-41EE-BA1A-E264E56ADE6F}">
  <dimension ref="A1:I13"/>
  <sheetViews>
    <sheetView zoomScale="160" zoomScaleNormal="160" workbookViewId="0">
      <selection activeCell="F23" sqref="F23"/>
    </sheetView>
  </sheetViews>
  <sheetFormatPr defaultRowHeight="12.75" x14ac:dyDescent="0.2"/>
  <cols>
    <col min="1" max="1" width="10.28515625" customWidth="1"/>
  </cols>
  <sheetData>
    <row r="1" spans="1:9" x14ac:dyDescent="0.2">
      <c r="A1" s="55" t="s">
        <v>0</v>
      </c>
      <c r="B1" s="55"/>
      <c r="C1" s="55"/>
      <c r="D1" s="55"/>
      <c r="E1" s="55"/>
      <c r="F1" s="55"/>
      <c r="G1" s="55"/>
      <c r="H1" s="55"/>
      <c r="I1" s="55"/>
    </row>
    <row r="2" spans="1:9" x14ac:dyDescent="0.2">
      <c r="A2" s="86" t="s">
        <v>135</v>
      </c>
      <c r="B2" s="86"/>
      <c r="C2" s="86"/>
      <c r="D2" s="86"/>
      <c r="E2" s="86"/>
      <c r="F2" s="86"/>
      <c r="G2" s="86"/>
      <c r="H2" s="86"/>
      <c r="I2" s="86"/>
    </row>
    <row r="3" spans="1:9" x14ac:dyDescent="0.2">
      <c r="A3" s="59" t="s">
        <v>136</v>
      </c>
      <c r="B3" s="59">
        <v>10</v>
      </c>
      <c r="C3" s="59">
        <v>30</v>
      </c>
      <c r="D3" s="59">
        <v>50</v>
      </c>
      <c r="E3" s="59">
        <v>60</v>
      </c>
      <c r="F3" s="59">
        <v>70</v>
      </c>
      <c r="G3" s="59">
        <v>80</v>
      </c>
      <c r="H3" s="59">
        <v>90</v>
      </c>
      <c r="I3" s="59">
        <v>100</v>
      </c>
    </row>
    <row r="4" spans="1:9" x14ac:dyDescent="0.2">
      <c r="A4" s="59" t="s">
        <v>137</v>
      </c>
      <c r="B4" s="59"/>
      <c r="C4" s="59"/>
      <c r="D4" s="59"/>
      <c r="E4" s="59"/>
      <c r="F4" s="59"/>
      <c r="G4" s="59"/>
      <c r="H4" s="59"/>
      <c r="I4" s="59"/>
    </row>
    <row r="5" spans="1:9" x14ac:dyDescent="0.2">
      <c r="A5" s="59" t="s">
        <v>138</v>
      </c>
      <c r="B5" s="59"/>
      <c r="C5" s="59"/>
      <c r="D5" s="59"/>
      <c r="E5" s="59"/>
      <c r="F5" s="59"/>
      <c r="G5" s="59"/>
      <c r="H5" s="59"/>
      <c r="I5" s="59"/>
    </row>
    <row r="6" spans="1:9" x14ac:dyDescent="0.2">
      <c r="A6" s="59" t="s">
        <v>139</v>
      </c>
      <c r="B6" s="59"/>
      <c r="C6" s="59"/>
      <c r="D6" s="59"/>
      <c r="E6" s="59"/>
      <c r="F6" s="59"/>
      <c r="G6" s="59"/>
      <c r="H6" s="59"/>
      <c r="I6" s="59"/>
    </row>
    <row r="7" spans="1:9" x14ac:dyDescent="0.2">
      <c r="A7" s="59" t="s">
        <v>86</v>
      </c>
      <c r="B7" s="59"/>
      <c r="C7" s="59"/>
      <c r="D7" s="59"/>
      <c r="E7" s="59"/>
      <c r="F7" s="59"/>
      <c r="G7" s="59"/>
      <c r="H7" s="59"/>
      <c r="I7" s="59"/>
    </row>
    <row r="8" spans="1:9" x14ac:dyDescent="0.2">
      <c r="A8" s="55"/>
      <c r="B8" s="55"/>
      <c r="C8" s="55"/>
      <c r="D8" s="55"/>
      <c r="E8" s="55"/>
      <c r="F8" s="55"/>
      <c r="G8" s="55"/>
      <c r="H8" s="55"/>
      <c r="I8" s="55"/>
    </row>
    <row r="9" spans="1:9" x14ac:dyDescent="0.2">
      <c r="A9" s="86" t="s">
        <v>140</v>
      </c>
      <c r="B9" s="86"/>
      <c r="C9" s="86"/>
      <c r="D9" s="86"/>
      <c r="E9" s="86"/>
      <c r="F9" s="86"/>
      <c r="G9" s="86"/>
      <c r="H9" s="55"/>
      <c r="I9" s="55"/>
    </row>
    <row r="10" spans="1:9" x14ac:dyDescent="0.2">
      <c r="A10" s="59" t="s">
        <v>141</v>
      </c>
      <c r="B10" s="59">
        <v>100</v>
      </c>
      <c r="C10" s="59">
        <v>60</v>
      </c>
      <c r="D10" s="59">
        <v>40</v>
      </c>
      <c r="E10" s="59">
        <v>20</v>
      </c>
      <c r="F10" s="59">
        <v>10</v>
      </c>
      <c r="G10" s="59">
        <v>5</v>
      </c>
      <c r="H10" s="55"/>
      <c r="I10" s="55"/>
    </row>
    <row r="11" spans="1:9" x14ac:dyDescent="0.2">
      <c r="A11" s="59" t="s">
        <v>86</v>
      </c>
      <c r="B11" s="59"/>
      <c r="C11" s="59"/>
      <c r="D11" s="59"/>
      <c r="E11" s="59"/>
      <c r="F11" s="59"/>
      <c r="G11" s="59"/>
      <c r="H11" s="55"/>
      <c r="I11" s="55"/>
    </row>
    <row r="12" spans="1:9" x14ac:dyDescent="0.2">
      <c r="A12" s="59" t="s">
        <v>139</v>
      </c>
      <c r="B12" s="59"/>
      <c r="C12" s="59"/>
      <c r="D12" s="59"/>
      <c r="E12" s="59"/>
      <c r="F12" s="59"/>
      <c r="G12" s="59"/>
      <c r="H12" s="55"/>
      <c r="I12" s="55"/>
    </row>
    <row r="13" spans="1:9" x14ac:dyDescent="0.2">
      <c r="A13" s="59" t="s">
        <v>142</v>
      </c>
      <c r="B13" s="59"/>
      <c r="C13" s="59"/>
      <c r="D13" s="59"/>
      <c r="E13" s="59"/>
      <c r="F13" s="59"/>
      <c r="G13" s="59"/>
      <c r="H13" s="55"/>
      <c r="I13" s="55"/>
    </row>
  </sheetData>
  <mergeCells count="2">
    <mergeCell ref="A2:I2"/>
    <mergeCell ref="A9:G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FAE75-73DD-445F-B219-214C37B432FB}">
  <dimension ref="A1:M14"/>
  <sheetViews>
    <sheetView zoomScale="145" zoomScaleNormal="145" workbookViewId="0">
      <selection activeCell="L20" sqref="L20"/>
    </sheetView>
  </sheetViews>
  <sheetFormatPr defaultRowHeight="12.75" x14ac:dyDescent="0.2"/>
  <sheetData>
    <row r="1" spans="1:13" x14ac:dyDescent="0.2">
      <c r="A1" t="s">
        <v>88</v>
      </c>
    </row>
    <row r="2" spans="1:13" x14ac:dyDescent="0.2">
      <c r="A2" s="93" t="s">
        <v>148</v>
      </c>
      <c r="B2" s="93"/>
      <c r="C2" s="93"/>
      <c r="D2" s="93"/>
      <c r="E2" s="93"/>
      <c r="F2" s="93"/>
      <c r="H2" s="93" t="s">
        <v>149</v>
      </c>
      <c r="I2" s="93"/>
      <c r="J2" s="93"/>
      <c r="K2" s="93"/>
      <c r="L2" s="93"/>
      <c r="M2" s="93"/>
    </row>
    <row r="3" spans="1:13" x14ac:dyDescent="0.2">
      <c r="A3" s="93" t="s">
        <v>144</v>
      </c>
      <c r="B3" s="93"/>
      <c r="C3" s="93"/>
      <c r="D3" s="93" t="s">
        <v>143</v>
      </c>
      <c r="E3" s="93"/>
      <c r="F3" s="93"/>
      <c r="H3" s="93" t="s">
        <v>150</v>
      </c>
      <c r="I3" s="93"/>
      <c r="J3" s="93"/>
      <c r="K3" s="93" t="s">
        <v>151</v>
      </c>
      <c r="L3" s="93"/>
      <c r="M3" s="93"/>
    </row>
    <row r="4" spans="1:13" x14ac:dyDescent="0.2">
      <c r="A4" s="56" t="s">
        <v>145</v>
      </c>
      <c r="B4" s="56" t="s">
        <v>146</v>
      </c>
      <c r="C4" s="56" t="s">
        <v>147</v>
      </c>
      <c r="D4" s="56" t="s">
        <v>145</v>
      </c>
      <c r="E4" s="56" t="s">
        <v>146</v>
      </c>
      <c r="F4" s="56" t="s">
        <v>147</v>
      </c>
      <c r="H4" t="s">
        <v>152</v>
      </c>
      <c r="I4" t="s">
        <v>153</v>
      </c>
      <c r="J4" s="56" t="s">
        <v>147</v>
      </c>
      <c r="K4" t="s">
        <v>152</v>
      </c>
      <c r="L4" s="56" t="s">
        <v>146</v>
      </c>
      <c r="M4" s="56" t="s">
        <v>147</v>
      </c>
    </row>
    <row r="5" spans="1:13" x14ac:dyDescent="0.2">
      <c r="A5" s="56">
        <v>5</v>
      </c>
      <c r="B5" s="56"/>
      <c r="C5" s="56"/>
      <c r="D5" s="56">
        <v>5</v>
      </c>
      <c r="E5" s="56"/>
      <c r="F5" s="56"/>
      <c r="H5" s="56">
        <v>5</v>
      </c>
      <c r="I5" s="56"/>
      <c r="J5" s="56"/>
      <c r="K5" s="56">
        <v>5</v>
      </c>
      <c r="L5" s="56"/>
      <c r="M5" s="56"/>
    </row>
    <row r="6" spans="1:13" x14ac:dyDescent="0.2">
      <c r="A6" s="56">
        <v>15</v>
      </c>
      <c r="B6" s="56"/>
      <c r="C6" s="56"/>
      <c r="D6" s="56">
        <v>15</v>
      </c>
      <c r="E6" s="56"/>
      <c r="F6" s="56"/>
      <c r="H6" s="56">
        <v>15</v>
      </c>
      <c r="I6" s="56"/>
      <c r="J6" s="56"/>
      <c r="K6" s="56">
        <v>15</v>
      </c>
      <c r="L6" s="56"/>
      <c r="M6" s="56"/>
    </row>
    <row r="7" spans="1:13" x14ac:dyDescent="0.2">
      <c r="A7" s="56">
        <v>25</v>
      </c>
      <c r="B7" s="56"/>
      <c r="C7" s="56"/>
      <c r="D7" s="56">
        <v>25</v>
      </c>
      <c r="E7" s="56"/>
      <c r="F7" s="56"/>
      <c r="H7" s="56">
        <v>25</v>
      </c>
      <c r="I7" s="56"/>
      <c r="J7" s="56"/>
      <c r="K7" s="56">
        <v>25</v>
      </c>
      <c r="L7" s="56"/>
      <c r="M7" s="56"/>
    </row>
    <row r="8" spans="1:13" x14ac:dyDescent="0.2">
      <c r="A8" s="56">
        <v>35</v>
      </c>
      <c r="B8" s="56"/>
      <c r="C8" s="56"/>
      <c r="D8" s="56">
        <v>35</v>
      </c>
      <c r="E8" s="56"/>
      <c r="F8" s="56"/>
      <c r="H8" s="56">
        <v>35</v>
      </c>
      <c r="I8" s="56"/>
      <c r="J8" s="56"/>
      <c r="K8" s="56">
        <v>35</v>
      </c>
      <c r="L8" s="56"/>
      <c r="M8" s="56"/>
    </row>
    <row r="9" spans="1:13" x14ac:dyDescent="0.2">
      <c r="A9" s="56">
        <v>45</v>
      </c>
      <c r="B9" s="56"/>
      <c r="C9" s="56"/>
      <c r="D9" s="56">
        <v>45</v>
      </c>
      <c r="E9" s="56"/>
      <c r="F9" s="56"/>
      <c r="H9" s="56">
        <v>45</v>
      </c>
      <c r="I9" s="56"/>
      <c r="J9" s="56"/>
      <c r="K9" s="56">
        <v>45</v>
      </c>
      <c r="L9" s="56"/>
      <c r="M9" s="56"/>
    </row>
    <row r="10" spans="1:13" x14ac:dyDescent="0.2">
      <c r="A10" s="56">
        <v>55</v>
      </c>
      <c r="B10" s="56"/>
      <c r="C10" s="56"/>
      <c r="D10" s="56">
        <v>55</v>
      </c>
      <c r="E10" s="56"/>
      <c r="F10" s="56"/>
      <c r="H10" s="56">
        <v>55</v>
      </c>
      <c r="I10" s="56"/>
      <c r="J10" s="56"/>
      <c r="K10" s="56">
        <v>55</v>
      </c>
      <c r="L10" s="56"/>
      <c r="M10" s="56"/>
    </row>
    <row r="11" spans="1:13" x14ac:dyDescent="0.2">
      <c r="A11" s="56">
        <v>65</v>
      </c>
      <c r="B11" s="56"/>
      <c r="C11" s="56"/>
      <c r="D11" s="56">
        <v>65</v>
      </c>
      <c r="E11" s="56"/>
      <c r="F11" s="56"/>
      <c r="H11" s="56">
        <v>65</v>
      </c>
      <c r="I11" s="56"/>
      <c r="J11" s="56"/>
      <c r="K11" s="56">
        <v>65</v>
      </c>
      <c r="L11" s="56"/>
      <c r="M11" s="56"/>
    </row>
    <row r="12" spans="1:13" x14ac:dyDescent="0.2">
      <c r="A12" s="56">
        <v>75</v>
      </c>
      <c r="B12" s="56"/>
      <c r="C12" s="56"/>
      <c r="D12" s="56">
        <v>75</v>
      </c>
      <c r="E12" s="56"/>
      <c r="F12" s="56"/>
      <c r="H12" s="56">
        <v>75</v>
      </c>
      <c r="I12" s="56"/>
      <c r="J12" s="56"/>
      <c r="K12" s="56">
        <v>75</v>
      </c>
      <c r="L12" s="56"/>
      <c r="M12" s="56"/>
    </row>
    <row r="13" spans="1:13" x14ac:dyDescent="0.2">
      <c r="A13" s="56">
        <v>85</v>
      </c>
      <c r="B13" s="56"/>
      <c r="C13" s="56"/>
      <c r="D13" s="56">
        <v>85</v>
      </c>
      <c r="E13" s="56"/>
      <c r="F13" s="56"/>
      <c r="H13" s="56">
        <v>85</v>
      </c>
      <c r="I13" s="56"/>
      <c r="J13" s="56"/>
      <c r="K13" s="56">
        <v>85</v>
      </c>
      <c r="L13" s="56"/>
      <c r="M13" s="56"/>
    </row>
    <row r="14" spans="1:13" x14ac:dyDescent="0.2">
      <c r="A14" s="56">
        <v>95</v>
      </c>
      <c r="B14" s="56"/>
      <c r="C14" s="56"/>
      <c r="D14" s="56">
        <v>95</v>
      </c>
      <c r="E14" s="56"/>
      <c r="F14" s="56"/>
      <c r="H14" s="56">
        <v>95</v>
      </c>
      <c r="I14" s="56"/>
      <c r="J14" s="56"/>
      <c r="K14" s="56">
        <v>95</v>
      </c>
      <c r="L14" s="56"/>
      <c r="M14" s="56"/>
    </row>
  </sheetData>
  <mergeCells count="6">
    <mergeCell ref="A3:C3"/>
    <mergeCell ref="D3:F3"/>
    <mergeCell ref="A2:F2"/>
    <mergeCell ref="H2:M2"/>
    <mergeCell ref="H3:J3"/>
    <mergeCell ref="K3:M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D6E9E-A8A9-48C8-8AB2-DCCFB4C8E708}">
  <dimension ref="A1:D12"/>
  <sheetViews>
    <sheetView zoomScale="145" zoomScaleNormal="145" workbookViewId="0">
      <selection activeCell="E17" sqref="E17"/>
    </sheetView>
  </sheetViews>
  <sheetFormatPr defaultRowHeight="12.75" x14ac:dyDescent="0.2"/>
  <sheetData>
    <row r="1" spans="1:4" x14ac:dyDescent="0.2">
      <c r="A1" t="s">
        <v>88</v>
      </c>
    </row>
    <row r="2" spans="1:4" x14ac:dyDescent="0.2">
      <c r="A2" s="93" t="s">
        <v>158</v>
      </c>
      <c r="B2" s="93"/>
      <c r="C2" s="93"/>
      <c r="D2" s="93"/>
    </row>
    <row r="3" spans="1:4" x14ac:dyDescent="0.2">
      <c r="A3" s="56" t="s">
        <v>154</v>
      </c>
      <c r="B3" s="56" t="s">
        <v>155</v>
      </c>
      <c r="C3" s="56" t="s">
        <v>156</v>
      </c>
      <c r="D3" s="56" t="s">
        <v>157</v>
      </c>
    </row>
    <row r="4" spans="1:4" x14ac:dyDescent="0.2">
      <c r="A4" s="56">
        <v>39</v>
      </c>
      <c r="B4" s="56"/>
      <c r="C4" s="56"/>
      <c r="D4" s="56"/>
    </row>
    <row r="5" spans="1:4" x14ac:dyDescent="0.2">
      <c r="A5" s="56">
        <v>40</v>
      </c>
      <c r="B5" s="56"/>
      <c r="C5" s="56"/>
      <c r="D5" s="56"/>
    </row>
    <row r="6" spans="1:4" x14ac:dyDescent="0.2">
      <c r="A6" s="56">
        <v>41</v>
      </c>
      <c r="B6" s="56"/>
      <c r="C6" s="56"/>
      <c r="D6" s="56"/>
    </row>
    <row r="8" spans="1:4" x14ac:dyDescent="0.2">
      <c r="A8" s="93"/>
      <c r="B8" s="93"/>
      <c r="C8" s="93"/>
      <c r="D8" s="57"/>
    </row>
    <row r="9" spans="1:4" x14ac:dyDescent="0.2">
      <c r="A9" s="56" t="s">
        <v>154</v>
      </c>
      <c r="B9" s="56" t="s">
        <v>155</v>
      </c>
      <c r="C9" s="56" t="s">
        <v>156</v>
      </c>
    </row>
    <row r="10" spans="1:4" x14ac:dyDescent="0.2">
      <c r="A10" s="56">
        <v>39</v>
      </c>
      <c r="B10" s="56"/>
      <c r="C10" s="56"/>
    </row>
    <row r="11" spans="1:4" x14ac:dyDescent="0.2">
      <c r="A11" s="56">
        <v>40</v>
      </c>
      <c r="B11" s="56"/>
      <c r="C11" s="56"/>
    </row>
    <row r="12" spans="1:4" x14ac:dyDescent="0.2">
      <c r="A12" s="56">
        <v>41</v>
      </c>
      <c r="B12" s="56"/>
      <c r="C12" s="56"/>
    </row>
  </sheetData>
  <mergeCells count="2">
    <mergeCell ref="A2:D2"/>
    <mergeCell ref="A8:C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42A5E-40CA-4797-B223-90B66B0D0C8E}">
  <dimension ref="A1:F21"/>
  <sheetViews>
    <sheetView zoomScale="190" zoomScaleNormal="190" workbookViewId="0">
      <selection activeCell="F25" sqref="F25"/>
    </sheetView>
  </sheetViews>
  <sheetFormatPr defaultRowHeight="12.75" x14ac:dyDescent="0.2"/>
  <sheetData>
    <row r="1" spans="1:6" x14ac:dyDescent="0.2">
      <c r="A1" t="s">
        <v>88</v>
      </c>
    </row>
    <row r="2" spans="1:6" x14ac:dyDescent="0.2">
      <c r="A2" s="93" t="s">
        <v>163</v>
      </c>
      <c r="B2" s="93"/>
      <c r="C2" s="93"/>
      <c r="D2" s="93"/>
      <c r="E2" s="54"/>
    </row>
    <row r="3" spans="1:6" x14ac:dyDescent="0.2">
      <c r="A3" s="86" t="s">
        <v>159</v>
      </c>
      <c r="B3" s="86" t="s">
        <v>160</v>
      </c>
      <c r="C3" s="86" t="s">
        <v>161</v>
      </c>
      <c r="D3" s="86" t="s">
        <v>162</v>
      </c>
      <c r="E3" s="54"/>
    </row>
    <row r="4" spans="1:6" x14ac:dyDescent="0.2">
      <c r="A4" s="86"/>
      <c r="B4" s="86"/>
      <c r="C4" s="86"/>
      <c r="D4" s="86"/>
      <c r="E4" s="60"/>
    </row>
    <row r="5" spans="1:6" x14ac:dyDescent="0.2">
      <c r="A5" s="59">
        <v>1</v>
      </c>
      <c r="B5" s="59"/>
      <c r="C5" s="59"/>
      <c r="D5" s="59"/>
      <c r="E5" s="60"/>
    </row>
    <row r="6" spans="1:6" x14ac:dyDescent="0.2">
      <c r="A6" s="59">
        <v>2</v>
      </c>
      <c r="B6" s="59"/>
      <c r="C6" s="59"/>
      <c r="D6" s="59"/>
    </row>
    <row r="8" spans="1:6" x14ac:dyDescent="0.2">
      <c r="A8" s="93" t="s">
        <v>164</v>
      </c>
      <c r="B8" s="93"/>
      <c r="C8" s="93"/>
      <c r="D8" s="93"/>
      <c r="E8" s="93"/>
      <c r="F8" s="93"/>
    </row>
    <row r="9" spans="1:6" x14ac:dyDescent="0.2">
      <c r="A9" s="95" t="s">
        <v>165</v>
      </c>
      <c r="B9" s="95" t="s">
        <v>166</v>
      </c>
      <c r="C9" s="95" t="s">
        <v>167</v>
      </c>
      <c r="D9" s="95" t="s">
        <v>168</v>
      </c>
      <c r="E9" s="95" t="s">
        <v>169</v>
      </c>
      <c r="F9" s="95" t="s">
        <v>170</v>
      </c>
    </row>
    <row r="10" spans="1:6" x14ac:dyDescent="0.2">
      <c r="A10" s="96"/>
      <c r="B10" s="96"/>
      <c r="C10" s="96"/>
      <c r="D10" s="96"/>
      <c r="E10" s="96"/>
      <c r="F10" s="96"/>
    </row>
    <row r="11" spans="1:6" x14ac:dyDescent="0.2">
      <c r="A11" s="56"/>
      <c r="B11" s="56"/>
      <c r="C11" s="56"/>
      <c r="D11" s="56"/>
      <c r="E11" s="56"/>
      <c r="F11" s="56"/>
    </row>
    <row r="13" spans="1:6" x14ac:dyDescent="0.2">
      <c r="A13" s="93" t="s">
        <v>171</v>
      </c>
      <c r="B13" s="93"/>
      <c r="C13" s="93"/>
      <c r="D13" s="93"/>
      <c r="E13" s="93"/>
    </row>
    <row r="14" spans="1:6" x14ac:dyDescent="0.2">
      <c r="A14" s="94" t="s">
        <v>165</v>
      </c>
      <c r="B14" s="94" t="s">
        <v>166</v>
      </c>
      <c r="C14" s="94" t="s">
        <v>172</v>
      </c>
      <c r="D14" s="94" t="s">
        <v>173</v>
      </c>
      <c r="E14" s="94" t="s">
        <v>174</v>
      </c>
    </row>
    <row r="15" spans="1:6" x14ac:dyDescent="0.2">
      <c r="A15" s="93"/>
      <c r="B15" s="93"/>
      <c r="C15" s="93"/>
      <c r="D15" s="93"/>
      <c r="E15" s="93"/>
    </row>
    <row r="16" spans="1:6" x14ac:dyDescent="0.2">
      <c r="A16" s="56"/>
      <c r="B16" s="56"/>
      <c r="C16" s="56"/>
      <c r="D16" s="56"/>
      <c r="E16" s="56"/>
    </row>
    <row r="18" spans="1:5" x14ac:dyDescent="0.2">
      <c r="A18" s="93" t="s">
        <v>171</v>
      </c>
      <c r="B18" s="93"/>
      <c r="C18" s="93"/>
      <c r="D18" s="93"/>
      <c r="E18" s="93"/>
    </row>
    <row r="19" spans="1:5" x14ac:dyDescent="0.2">
      <c r="A19" s="94" t="s">
        <v>165</v>
      </c>
      <c r="B19" s="94" t="s">
        <v>175</v>
      </c>
      <c r="C19" s="94" t="s">
        <v>172</v>
      </c>
      <c r="D19" s="94" t="s">
        <v>176</v>
      </c>
      <c r="E19" s="94" t="s">
        <v>169</v>
      </c>
    </row>
    <row r="20" spans="1:5" x14ac:dyDescent="0.2">
      <c r="A20" s="93"/>
      <c r="B20" s="93"/>
      <c r="C20" s="93"/>
      <c r="D20" s="93"/>
      <c r="E20" s="93"/>
    </row>
    <row r="21" spans="1:5" x14ac:dyDescent="0.2">
      <c r="A21" s="56"/>
      <c r="B21" s="56"/>
      <c r="C21" s="56"/>
      <c r="D21" s="56"/>
      <c r="E21" s="56"/>
    </row>
  </sheetData>
  <mergeCells count="24">
    <mergeCell ref="D3:D4"/>
    <mergeCell ref="A3:A4"/>
    <mergeCell ref="B3:B4"/>
    <mergeCell ref="C3:C4"/>
    <mergeCell ref="A2:D2"/>
    <mergeCell ref="A8:F8"/>
    <mergeCell ref="A9:A10"/>
    <mergeCell ref="B9:B10"/>
    <mergeCell ref="C9:C10"/>
    <mergeCell ref="D9:D10"/>
    <mergeCell ref="E9:E10"/>
    <mergeCell ref="F9:F10"/>
    <mergeCell ref="A13:E13"/>
    <mergeCell ref="A14:A15"/>
    <mergeCell ref="B14:B15"/>
    <mergeCell ref="C14:C15"/>
    <mergeCell ref="D14:D15"/>
    <mergeCell ref="E14:E15"/>
    <mergeCell ref="A18:E18"/>
    <mergeCell ref="A19:A20"/>
    <mergeCell ref="B19:B20"/>
    <mergeCell ref="C19:C20"/>
    <mergeCell ref="D19:D20"/>
    <mergeCell ref="E19:E20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21122-244C-4C50-AA3E-E9987100DF04}">
  <dimension ref="A1:J10"/>
  <sheetViews>
    <sheetView zoomScale="205" zoomScaleNormal="205" workbookViewId="0">
      <selection activeCell="D20" sqref="D20"/>
    </sheetView>
  </sheetViews>
  <sheetFormatPr defaultRowHeight="12.75" x14ac:dyDescent="0.2"/>
  <sheetData>
    <row r="1" spans="1:10" x14ac:dyDescent="0.2">
      <c r="A1" t="s">
        <v>88</v>
      </c>
    </row>
    <row r="2" spans="1:10" x14ac:dyDescent="0.2">
      <c r="A2" s="93" t="s">
        <v>180</v>
      </c>
      <c r="B2" s="93"/>
      <c r="C2" s="93"/>
      <c r="D2" s="93"/>
      <c r="E2" s="93"/>
      <c r="F2" s="93"/>
      <c r="G2" s="93"/>
      <c r="H2" s="93"/>
      <c r="I2" s="93"/>
      <c r="J2" s="93"/>
    </row>
    <row r="3" spans="1:10" x14ac:dyDescent="0.2">
      <c r="A3" s="93" t="s">
        <v>181</v>
      </c>
      <c r="B3" s="93"/>
      <c r="C3" s="93"/>
      <c r="D3" s="93"/>
      <c r="E3" s="93"/>
      <c r="F3" s="93" t="s">
        <v>182</v>
      </c>
      <c r="G3" s="93"/>
      <c r="H3" s="93"/>
      <c r="I3" s="93"/>
      <c r="J3" s="93"/>
    </row>
    <row r="4" spans="1:10" x14ac:dyDescent="0.2">
      <c r="A4" s="94" t="s">
        <v>183</v>
      </c>
      <c r="B4" s="94"/>
      <c r="C4" s="94"/>
      <c r="D4" s="93" t="s">
        <v>184</v>
      </c>
      <c r="E4" s="93"/>
      <c r="F4" s="97" t="s">
        <v>183</v>
      </c>
      <c r="G4" s="98"/>
      <c r="H4" s="97" t="s">
        <v>184</v>
      </c>
      <c r="I4" s="99"/>
      <c r="J4" s="98"/>
    </row>
    <row r="5" spans="1:10" x14ac:dyDescent="0.2">
      <c r="A5" s="93" t="s">
        <v>185</v>
      </c>
      <c r="B5" s="93" t="s">
        <v>186</v>
      </c>
      <c r="C5" s="93" t="s">
        <v>187</v>
      </c>
      <c r="D5" s="93" t="s">
        <v>186</v>
      </c>
      <c r="E5" s="93" t="s">
        <v>187</v>
      </c>
      <c r="F5" s="93" t="s">
        <v>186</v>
      </c>
      <c r="G5" s="93" t="s">
        <v>187</v>
      </c>
      <c r="H5" s="93" t="s">
        <v>185</v>
      </c>
      <c r="I5" s="93" t="s">
        <v>186</v>
      </c>
      <c r="J5" s="93" t="s">
        <v>187</v>
      </c>
    </row>
    <row r="6" spans="1:10" x14ac:dyDescent="0.2">
      <c r="A6" s="93"/>
      <c r="B6" s="93"/>
      <c r="C6" s="93"/>
      <c r="D6" s="93"/>
      <c r="E6" s="93"/>
      <c r="F6" s="93"/>
      <c r="G6" s="93"/>
      <c r="H6" s="93"/>
      <c r="I6" s="93"/>
      <c r="J6" s="93"/>
    </row>
    <row r="7" spans="1:10" x14ac:dyDescent="0.2">
      <c r="A7" s="56">
        <v>0</v>
      </c>
      <c r="B7" s="56"/>
      <c r="C7" s="56"/>
      <c r="D7" s="56"/>
      <c r="E7" s="56"/>
      <c r="F7" s="56"/>
      <c r="G7" s="56"/>
      <c r="H7" s="56"/>
      <c r="I7" s="56"/>
      <c r="J7" s="56"/>
    </row>
    <row r="8" spans="1:10" x14ac:dyDescent="0.2">
      <c r="A8" s="56" t="s">
        <v>177</v>
      </c>
      <c r="B8" s="56"/>
      <c r="C8" s="56"/>
      <c r="D8" s="56"/>
      <c r="E8" s="56"/>
      <c r="F8" s="56"/>
      <c r="G8" s="56"/>
      <c r="H8" s="56"/>
      <c r="I8" s="56"/>
      <c r="J8" s="56"/>
    </row>
    <row r="9" spans="1:10" x14ac:dyDescent="0.2">
      <c r="A9" s="56" t="s">
        <v>178</v>
      </c>
      <c r="B9" s="56"/>
      <c r="C9" s="56"/>
      <c r="D9" s="56"/>
      <c r="E9" s="56"/>
      <c r="F9" s="56"/>
      <c r="G9" s="56"/>
      <c r="H9" s="56"/>
      <c r="I9" s="56"/>
      <c r="J9" s="56"/>
    </row>
    <row r="10" spans="1:10" x14ac:dyDescent="0.2">
      <c r="A10" s="56" t="s">
        <v>179</v>
      </c>
      <c r="B10" s="56"/>
      <c r="C10" s="56"/>
      <c r="D10" s="56"/>
      <c r="E10" s="56"/>
      <c r="F10" s="56"/>
      <c r="G10" s="56"/>
      <c r="H10" s="56"/>
      <c r="I10" s="56"/>
      <c r="J10" s="56"/>
    </row>
  </sheetData>
  <mergeCells count="17">
    <mergeCell ref="A2:J2"/>
    <mergeCell ref="A3:E3"/>
    <mergeCell ref="F3:J3"/>
    <mergeCell ref="A4:C4"/>
    <mergeCell ref="D4:E4"/>
    <mergeCell ref="F4:G4"/>
    <mergeCell ref="H4:J4"/>
    <mergeCell ref="G5:G6"/>
    <mergeCell ref="H5:H6"/>
    <mergeCell ref="I5:I6"/>
    <mergeCell ref="J5:J6"/>
    <mergeCell ref="A5:A6"/>
    <mergeCell ref="B5:B6"/>
    <mergeCell ref="C5:C6"/>
    <mergeCell ref="D5:D6"/>
    <mergeCell ref="E5:E6"/>
    <mergeCell ref="F5:F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B74DB-5A4A-4CED-A56A-06FC501B57D5}">
  <dimension ref="A1:H17"/>
  <sheetViews>
    <sheetView zoomScale="160" zoomScaleNormal="160" workbookViewId="0">
      <selection activeCell="I18" sqref="I18"/>
    </sheetView>
  </sheetViews>
  <sheetFormatPr defaultRowHeight="12.75" x14ac:dyDescent="0.2"/>
  <sheetData>
    <row r="1" spans="1:8" x14ac:dyDescent="0.2">
      <c r="A1" t="s">
        <v>88</v>
      </c>
    </row>
    <row r="2" spans="1:8" x14ac:dyDescent="0.2">
      <c r="A2" s="86" t="s">
        <v>192</v>
      </c>
      <c r="B2" s="86"/>
      <c r="C2" s="86"/>
      <c r="D2" s="86"/>
      <c r="E2" s="86"/>
      <c r="F2" s="86"/>
      <c r="G2" s="86"/>
      <c r="H2" s="86"/>
    </row>
    <row r="3" spans="1:8" x14ac:dyDescent="0.2">
      <c r="A3" s="59" t="s">
        <v>197</v>
      </c>
      <c r="B3" s="59">
        <v>20</v>
      </c>
      <c r="C3" s="59">
        <v>25</v>
      </c>
      <c r="D3" s="59">
        <v>30</v>
      </c>
      <c r="E3" s="59">
        <v>35</v>
      </c>
      <c r="F3" s="59">
        <v>40</v>
      </c>
      <c r="G3" s="59">
        <v>45</v>
      </c>
      <c r="H3" s="59">
        <v>50</v>
      </c>
    </row>
    <row r="4" spans="1:8" x14ac:dyDescent="0.2">
      <c r="A4" s="59" t="s">
        <v>188</v>
      </c>
      <c r="B4" s="59"/>
      <c r="C4" s="59"/>
      <c r="D4" s="59"/>
      <c r="E4" s="59"/>
      <c r="F4" s="59"/>
      <c r="G4" s="59"/>
      <c r="H4" s="59"/>
    </row>
    <row r="5" spans="1:8" x14ac:dyDescent="0.2">
      <c r="A5" s="59" t="s">
        <v>189</v>
      </c>
      <c r="B5" s="59"/>
      <c r="C5" s="59"/>
      <c r="D5" s="59"/>
      <c r="E5" s="59"/>
      <c r="F5" s="59"/>
      <c r="G5" s="59"/>
      <c r="H5" s="59"/>
    </row>
    <row r="6" spans="1:8" x14ac:dyDescent="0.2">
      <c r="A6" s="59" t="s">
        <v>190</v>
      </c>
      <c r="B6" s="59"/>
      <c r="C6" s="59"/>
      <c r="D6" s="59"/>
      <c r="E6" s="59"/>
      <c r="F6" s="59"/>
      <c r="G6" s="59"/>
      <c r="H6" s="59"/>
    </row>
    <row r="7" spans="1:8" x14ac:dyDescent="0.2">
      <c r="A7" s="59" t="s">
        <v>191</v>
      </c>
      <c r="B7" s="59"/>
      <c r="C7" s="59"/>
      <c r="D7" s="59"/>
      <c r="E7" s="59"/>
      <c r="F7" s="59"/>
      <c r="G7" s="59"/>
      <c r="H7" s="59"/>
    </row>
    <row r="9" spans="1:8" x14ac:dyDescent="0.2">
      <c r="A9" s="86" t="s">
        <v>193</v>
      </c>
      <c r="B9" s="86"/>
      <c r="C9" s="86"/>
      <c r="D9" s="86"/>
      <c r="E9" s="86"/>
      <c r="F9" s="86"/>
      <c r="G9" s="86"/>
      <c r="H9" s="86"/>
    </row>
    <row r="10" spans="1:8" x14ac:dyDescent="0.2">
      <c r="A10" s="56" t="s">
        <v>141</v>
      </c>
      <c r="B10" s="56">
        <v>100</v>
      </c>
      <c r="C10" s="56">
        <v>80</v>
      </c>
      <c r="D10" s="56">
        <v>60</v>
      </c>
      <c r="E10" s="56">
        <v>40</v>
      </c>
      <c r="F10" s="56">
        <v>20</v>
      </c>
      <c r="G10" s="56">
        <v>10</v>
      </c>
      <c r="H10" s="56">
        <v>0</v>
      </c>
    </row>
    <row r="11" spans="1:8" x14ac:dyDescent="0.2">
      <c r="A11" s="56" t="s">
        <v>92</v>
      </c>
      <c r="B11" s="56"/>
      <c r="C11" s="56"/>
      <c r="D11" s="56"/>
      <c r="E11" s="56"/>
      <c r="F11" s="56"/>
      <c r="G11" s="56"/>
      <c r="H11" s="56"/>
    </row>
    <row r="12" spans="1:8" x14ac:dyDescent="0.2">
      <c r="A12" s="56" t="s">
        <v>188</v>
      </c>
      <c r="B12" s="56"/>
      <c r="C12" s="56"/>
      <c r="D12" s="56"/>
      <c r="E12" s="56"/>
      <c r="F12" s="56"/>
      <c r="G12" s="56"/>
      <c r="H12" s="56"/>
    </row>
    <row r="13" spans="1:8" x14ac:dyDescent="0.2">
      <c r="A13" s="56" t="s">
        <v>189</v>
      </c>
      <c r="B13" s="56"/>
      <c r="C13" s="56"/>
      <c r="D13" s="56"/>
      <c r="E13" s="56"/>
      <c r="F13" s="56"/>
      <c r="G13" s="56"/>
      <c r="H13" s="56"/>
    </row>
    <row r="14" spans="1:8" x14ac:dyDescent="0.2">
      <c r="A14" s="56" t="s">
        <v>194</v>
      </c>
      <c r="B14" s="56"/>
      <c r="C14" s="56"/>
      <c r="D14" s="56"/>
      <c r="E14" s="56"/>
      <c r="F14" s="56"/>
      <c r="G14" s="56"/>
      <c r="H14" s="56"/>
    </row>
    <row r="15" spans="1:8" x14ac:dyDescent="0.2">
      <c r="A15" s="56" t="s">
        <v>195</v>
      </c>
      <c r="B15" s="56"/>
      <c r="C15" s="56"/>
      <c r="D15" s="56"/>
      <c r="E15" s="56"/>
      <c r="F15" s="56"/>
      <c r="G15" s="56"/>
      <c r="H15" s="56"/>
    </row>
    <row r="16" spans="1:8" x14ac:dyDescent="0.2">
      <c r="A16" s="56" t="s">
        <v>93</v>
      </c>
      <c r="B16" s="56"/>
      <c r="C16" s="56"/>
      <c r="D16" s="56"/>
      <c r="E16" s="56"/>
      <c r="F16" s="56"/>
      <c r="G16" s="56"/>
      <c r="H16" s="56"/>
    </row>
    <row r="17" spans="1:8" x14ac:dyDescent="0.2">
      <c r="A17" s="56" t="s">
        <v>196</v>
      </c>
      <c r="B17" s="56"/>
      <c r="C17" s="56"/>
      <c r="D17" s="56"/>
      <c r="E17" s="56"/>
      <c r="F17" s="56"/>
      <c r="G17" s="56"/>
      <c r="H17" s="56"/>
    </row>
  </sheetData>
  <mergeCells count="2">
    <mergeCell ref="A2:H2"/>
    <mergeCell ref="A9:H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2484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1 лаба</vt:lpstr>
      <vt:lpstr>2 лаба</vt:lpstr>
      <vt:lpstr>3 лаба</vt:lpstr>
      <vt:lpstr>4 лаба</vt:lpstr>
      <vt:lpstr>5 лаба</vt:lpstr>
      <vt:lpstr>6 лаба </vt:lpstr>
      <vt:lpstr>7 лаба</vt:lpstr>
      <vt:lpstr>8 лаба</vt:lpstr>
      <vt:lpstr>9  лаба</vt:lpstr>
      <vt:lpstr>10 лаба</vt:lpstr>
      <vt:lpstr>11 лаба</vt:lpstr>
      <vt:lpstr>12 лаба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Андрей Панин</cp:lastModifiedBy>
  <cp:revision>31</cp:revision>
  <dcterms:created xsi:type="dcterms:W3CDTF">2025-09-02T08:53:24Z</dcterms:created>
  <dcterms:modified xsi:type="dcterms:W3CDTF">2025-10-20T06:51:09Z</dcterms:modified>
  <dc:language>en-US</dc:language>
</cp:coreProperties>
</file>